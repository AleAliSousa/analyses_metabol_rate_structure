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proulx\Downloads\"/>
    </mc:Choice>
  </mc:AlternateContent>
  <xr:revisionPtr revIDLastSave="0" documentId="13_ncr:1_{7809A48E-D64E-45EB-850D-2152F2640DB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nal Data Clean" sheetId="4" r:id="rId1"/>
  </sheets>
  <definedNames>
    <definedName name="_xlnm.Print_Titles" localSheetId="0">'Final Data Clean'!$B:$C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4" l="1"/>
  <c r="K24" i="4"/>
  <c r="J25" i="4"/>
  <c r="J24" i="4"/>
  <c r="I25" i="4"/>
  <c r="I24" i="4"/>
  <c r="H25" i="4"/>
  <c r="H24" i="4"/>
  <c r="G25" i="4"/>
  <c r="G24" i="4"/>
  <c r="L25" i="4"/>
  <c r="L24" i="4"/>
  <c r="M23" i="4"/>
  <c r="M22" i="4"/>
  <c r="L23" i="4"/>
  <c r="L22" i="4"/>
  <c r="K23" i="4"/>
  <c r="K22" i="4"/>
  <c r="J23" i="4"/>
  <c r="J22" i="4"/>
  <c r="I23" i="4"/>
  <c r="I22" i="4"/>
  <c r="H23" i="4"/>
  <c r="H22" i="4"/>
  <c r="G23" i="4"/>
  <c r="G22" i="4"/>
  <c r="F25" i="4"/>
  <c r="F24" i="4"/>
  <c r="F23" i="4"/>
  <c r="F22" i="4"/>
</calcChain>
</file>

<file path=xl/sharedStrings.xml><?xml version="1.0" encoding="utf-8"?>
<sst xmlns="http://schemas.openxmlformats.org/spreadsheetml/2006/main" count="132" uniqueCount="98">
  <si>
    <t>ASD</t>
  </si>
  <si>
    <t>Other_Nuc_Micro_Inner</t>
  </si>
  <si>
    <t>Other_Nuc_Oligo</t>
  </si>
  <si>
    <t>Other_Nuc_Micro</t>
  </si>
  <si>
    <t>Other_Nuc_Endo</t>
  </si>
  <si>
    <t>Other_Nuc_Astro</t>
  </si>
  <si>
    <t>Other_Num_Neuron</t>
  </si>
  <si>
    <t>Other_Num_Olig</t>
  </si>
  <si>
    <t>Other_Num_Micro</t>
  </si>
  <si>
    <t>Other_Num_Endo</t>
  </si>
  <si>
    <t>Other_Num_Astro</t>
  </si>
  <si>
    <t>Lateral_Nuc_Micro_Inner</t>
  </si>
  <si>
    <t>Lateral_Nuc_Oligo</t>
  </si>
  <si>
    <t>Lateral_Nuc_Micro</t>
  </si>
  <si>
    <t>Lateral_Nuc_Endo</t>
  </si>
  <si>
    <t>Lateral_Nuc_Astro</t>
  </si>
  <si>
    <t>Lat_Num_Neuron</t>
  </si>
  <si>
    <t>Lateral_Num_Olig</t>
  </si>
  <si>
    <t>Lateral_Num_Micro</t>
  </si>
  <si>
    <t>Lateral_Num_Endo</t>
  </si>
  <si>
    <t>Lateral_Num_Astro</t>
  </si>
  <si>
    <t>Lateral_Nuc_Micro_Inner_Var</t>
  </si>
  <si>
    <t>Central_Nuc_Micro_Inner</t>
  </si>
  <si>
    <t>Central_Nuc_Oligo</t>
  </si>
  <si>
    <t>Central_Nuc_Micro</t>
  </si>
  <si>
    <t>Central_Nuc_Endo</t>
  </si>
  <si>
    <t>Central_Nuc_Astro</t>
  </si>
  <si>
    <t>Central_Num_Neuron</t>
  </si>
  <si>
    <t>Central_Num_Olig</t>
  </si>
  <si>
    <t>Central_Num_Micro</t>
  </si>
  <si>
    <t>Central_Num_Endo</t>
  </si>
  <si>
    <t>Central_Nuc_Micro_Inner_Var</t>
  </si>
  <si>
    <t>Basal_Nuc_Micro_Inner</t>
  </si>
  <si>
    <t>Basal_Nuc_Oligo</t>
  </si>
  <si>
    <t>Basal_Nuc_Micro</t>
  </si>
  <si>
    <t>Basal_Nuc_Endo</t>
  </si>
  <si>
    <t>Basal_Nuc_Astro</t>
  </si>
  <si>
    <t>Basal_Num_Neuron</t>
  </si>
  <si>
    <t>Basal_Num_Olig</t>
  </si>
  <si>
    <t>Basal_Num_Micro</t>
  </si>
  <si>
    <t>Basal_Num_Endo</t>
  </si>
  <si>
    <t>Basal_Num_Astro</t>
  </si>
  <si>
    <t>Acc_B_Nuc_Micro_Inner</t>
  </si>
  <si>
    <t>Acc_B_Nuc_Oligo</t>
  </si>
  <si>
    <t>Acc_B_Nuc_Micro</t>
  </si>
  <si>
    <t>Acc_B_Nuc_Endo</t>
  </si>
  <si>
    <t>Acc_B_Nuc_Astro</t>
  </si>
  <si>
    <t>Acc_B_Num_Neuron</t>
  </si>
  <si>
    <t>Acc_B_Num_Olig</t>
  </si>
  <si>
    <t>Acc_B_Num_Micro</t>
  </si>
  <si>
    <t>Acc_B_Num_Endo</t>
  </si>
  <si>
    <t>Acc_B_Num_Astro</t>
  </si>
  <si>
    <t>Whole_Nuc_Micro_Inner</t>
  </si>
  <si>
    <t>Whole_Nuc_Oligo</t>
  </si>
  <si>
    <t>Whole_Nuc_Micro</t>
  </si>
  <si>
    <t>Whole_Nuc_Endo</t>
  </si>
  <si>
    <t>Whole_Nuc_Astro</t>
  </si>
  <si>
    <t>Whole_Num_All</t>
  </si>
  <si>
    <t>Whole_Num_Neuron</t>
  </si>
  <si>
    <t>Whole_Num_Glia</t>
  </si>
  <si>
    <t>Whole_Num_Olig</t>
  </si>
  <si>
    <t>Whole_Num_Micro</t>
  </si>
  <si>
    <t>Whole_Num_Endo</t>
  </si>
  <si>
    <t>Whole_Num_Astro</t>
  </si>
  <si>
    <t>Amyg Volume</t>
  </si>
  <si>
    <t>Case</t>
  </si>
  <si>
    <t>Age (years)</t>
  </si>
  <si>
    <t>PMI (hours)</t>
  </si>
  <si>
    <t>Hemisphere</t>
  </si>
  <si>
    <t>R</t>
  </si>
  <si>
    <t>L</t>
  </si>
  <si>
    <t>UCD H-2-04</t>
  </si>
  <si>
    <t>Diagnosis</t>
  </si>
  <si>
    <t>BTB-3830</t>
  </si>
  <si>
    <t>BTB-3831</t>
  </si>
  <si>
    <t>BTB-3851</t>
  </si>
  <si>
    <t>BTB-3809</t>
  </si>
  <si>
    <t>BTB-4016</t>
  </si>
  <si>
    <t>BTB-3849</t>
  </si>
  <si>
    <t>BTB-3706</t>
  </si>
  <si>
    <t>BTB-3966</t>
  </si>
  <si>
    <t>UCD H-19-01</t>
  </si>
  <si>
    <t>BTB-3714</t>
  </si>
  <si>
    <t>UCD H-4-99</t>
  </si>
  <si>
    <t>AN02736</t>
  </si>
  <si>
    <t>AN11206</t>
  </si>
  <si>
    <t>AN00764</t>
  </si>
  <si>
    <t>UMB-4226</t>
  </si>
  <si>
    <t>AN16961</t>
  </si>
  <si>
    <t>AN06746</t>
  </si>
  <si>
    <t>CAL-101</t>
  </si>
  <si>
    <t>Control</t>
  </si>
  <si>
    <r>
      <t>Amygdala volume in mm</t>
    </r>
    <r>
      <rPr>
        <vertAlign val="superscript"/>
        <sz val="11"/>
        <color theme="1"/>
        <rFont val="Calibri"/>
        <family val="2"/>
        <scheme val="minor"/>
      </rPr>
      <t>3</t>
    </r>
  </si>
  <si>
    <r>
      <t xml:space="preserve">Soma and nucleus volumes in </t>
    </r>
    <r>
      <rPr>
        <sz val="11"/>
        <color rgb="FF000000"/>
        <rFont val="Calibri"/>
        <family val="2"/>
      </rPr>
      <t>µm</t>
    </r>
    <r>
      <rPr>
        <vertAlign val="superscript"/>
        <sz val="11"/>
        <color rgb="FF000000"/>
        <rFont val="Calibri"/>
        <family val="2"/>
        <scheme val="minor"/>
      </rPr>
      <t>3</t>
    </r>
  </si>
  <si>
    <t>Mean</t>
  </si>
  <si>
    <t>SD</t>
  </si>
  <si>
    <t>(Mean X 2) and /1000 for vol</t>
  </si>
  <si>
    <t>(SD X 2) and /1000 for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</si>
</sst>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2" fillId="0" borderId="0" xfId="1" applyNumberFormat="1" applyFont="1" applyAlignment="1">
      <alignment horizontal="right" wrapText="1"/>
    </xf>
    <xf numFmtId="1" fontId="0" fillId="0" borderId="0" xfId="0" applyNumberFormat="1"/>
    <xf numFmtId="2" fontId="2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164" fontId="0" fillId="0" borderId="1" xfId="0" applyNumberFormat="1" applyBorder="1"/>
    <xf numFmtId="1" fontId="2" fillId="0" borderId="1" xfId="1" applyNumberFormat="1" applyFont="1" applyBorder="1" applyAlignment="1">
      <alignment horizontal="right" wrapText="1"/>
    </xf>
    <xf numFmtId="1" fontId="0" fillId="0" borderId="1" xfId="0" applyNumberFormat="1" applyBorder="1"/>
    <xf numFmtId="164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4" fontId="2" fillId="0" borderId="1" xfId="1" applyNumberFormat="1" applyFont="1" applyBorder="1" applyAlignment="1">
      <alignment horizontal="right" wrapText="1"/>
    </xf>
    <xf numFmtId="1" fontId="0" fillId="0" borderId="2" xfId="0" applyNumberFormat="1" applyBorder="1"/>
    <xf numFmtId="164" fontId="0" fillId="0" borderId="3" xfId="0" applyNumberFormat="1" applyBorder="1"/>
    <xf numFmtId="2" fontId="0" fillId="0" borderId="1" xfId="0" applyNumberFormat="1" applyBorder="1"/>
    <xf numFmtId="0" fontId="0" fillId="0" borderId="1" xfId="0" applyBorder="1"/>
    <xf numFmtId="1" fontId="0" fillId="0" borderId="3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4" xfId="0" applyNumberFormat="1" applyBorder="1"/>
    <xf numFmtId="1" fontId="0" fillId="0" borderId="4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164" fontId="0" fillId="0" borderId="6" xfId="0" applyNumberFormat="1" applyBorder="1"/>
    <xf numFmtId="1" fontId="0" fillId="0" borderId="7" xfId="0" applyNumberFormat="1" applyBorder="1" applyAlignment="1">
      <alignment horizontal="right"/>
    </xf>
    <xf numFmtId="1" fontId="2" fillId="0" borderId="3" xfId="1" applyNumberFormat="1" applyFont="1" applyBorder="1" applyAlignment="1">
      <alignment horizontal="right" wrapText="1"/>
    </xf>
    <xf numFmtId="2" fontId="2" fillId="0" borderId="1" xfId="1" applyNumberFormat="1" applyFont="1" applyBorder="1" applyAlignment="1">
      <alignment horizontal="center" wrapText="1"/>
    </xf>
    <xf numFmtId="2" fontId="4" fillId="0" borderId="1" xfId="0" applyNumberFormat="1" applyFont="1" applyBorder="1"/>
    <xf numFmtId="0" fontId="0" fillId="0" borderId="2" xfId="0" applyBorder="1"/>
    <xf numFmtId="0" fontId="0" fillId="0" borderId="3" xfId="0" applyBorder="1"/>
    <xf numFmtId="2" fontId="4" fillId="0" borderId="3" xfId="0" applyNumberFormat="1" applyFont="1" applyBorder="1"/>
    <xf numFmtId="0" fontId="3" fillId="0" borderId="8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9" xfId="0" applyFont="1" applyFill="1" applyBorder="1" applyAlignment="1">
      <alignment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9"/>
  <sheetViews>
    <sheetView tabSelected="1" topLeftCell="F1" workbookViewId="0">
      <selection activeCell="I25" sqref="I25"/>
    </sheetView>
  </sheetViews>
  <sheetFormatPr defaultRowHeight="14.4" x14ac:dyDescent="0.55000000000000004"/>
  <cols>
    <col min="1" max="1" width="12.26171875" customWidth="1"/>
    <col min="2" max="2" width="9.41796875" customWidth="1"/>
    <col min="3" max="3" width="10.68359375" customWidth="1"/>
    <col min="4" max="4" width="10.83984375" customWidth="1"/>
    <col min="5" max="5" width="11.83984375" bestFit="1" customWidth="1"/>
    <col min="6" max="6" width="13.578125" bestFit="1" customWidth="1"/>
    <col min="7" max="7" width="17.68359375" bestFit="1" customWidth="1"/>
    <col min="8" max="8" width="17.41796875" bestFit="1" customWidth="1"/>
    <col min="9" max="9" width="18.41796875" bestFit="1" customWidth="1"/>
    <col min="10" max="10" width="16.83984375" bestFit="1" customWidth="1"/>
    <col min="11" max="11" width="16.68359375" bestFit="1" customWidth="1"/>
    <col min="12" max="12" width="19.578125" customWidth="1"/>
    <col min="13" max="13" width="15.68359375" bestFit="1" customWidth="1"/>
    <col min="14" max="14" width="17.26171875" bestFit="1" customWidth="1"/>
    <col min="15" max="15" width="16.83984375" bestFit="1" customWidth="1"/>
    <col min="16" max="16" width="17.578125" bestFit="1" customWidth="1"/>
    <col min="17" max="17" width="17.26171875" bestFit="1" customWidth="1"/>
    <col min="18" max="18" width="23.41796875" bestFit="1" customWidth="1"/>
    <col min="19" max="19" width="16.68359375" bestFit="1" customWidth="1"/>
    <col min="20" max="20" width="16.41796875" bestFit="1" customWidth="1"/>
    <col min="21" max="21" width="17" bestFit="1" customWidth="1"/>
    <col min="22" max="22" width="16.15625" bestFit="1" customWidth="1"/>
    <col min="23" max="27" width="19.15625" customWidth="1"/>
    <col min="28" max="28" width="22.68359375" bestFit="1" customWidth="1"/>
    <col min="29" max="29" width="18.26171875" bestFit="1" customWidth="1"/>
    <col min="30" max="30" width="18" bestFit="1" customWidth="1"/>
    <col min="31" max="31" width="18.578125" bestFit="1" customWidth="1"/>
    <col min="32" max="32" width="17" bestFit="1" customWidth="1"/>
    <col min="33" max="37" width="19.15625" customWidth="1"/>
    <col min="38" max="38" width="22.15625" bestFit="1" customWidth="1"/>
    <col min="39" max="39" width="18.15625" bestFit="1" customWidth="1"/>
    <col min="40" max="40" width="17.83984375" bestFit="1" customWidth="1"/>
    <col min="41" max="41" width="18.41796875" bestFit="1" customWidth="1"/>
    <col min="42" max="42" width="16.83984375" bestFit="1" customWidth="1"/>
    <col min="43" max="47" width="20.83984375" customWidth="1"/>
    <col min="48" max="48" width="24" bestFit="1" customWidth="1"/>
    <col min="49" max="49" width="17" bestFit="1" customWidth="1"/>
    <col min="50" max="50" width="18.26171875" bestFit="1" customWidth="1"/>
    <col min="51" max="51" width="18" bestFit="1" customWidth="1"/>
    <col min="52" max="52" width="18.578125" bestFit="1" customWidth="1"/>
    <col min="53" max="53" width="17" bestFit="1" customWidth="1"/>
    <col min="54" max="54" width="16.41796875" customWidth="1"/>
    <col min="55" max="55" width="17.41796875" bestFit="1" customWidth="1"/>
    <col min="56" max="56" width="16.41796875" customWidth="1"/>
    <col min="57" max="57" width="17.68359375" bestFit="1" customWidth="1"/>
    <col min="58" max="58" width="17.41796875" bestFit="1" customWidth="1"/>
    <col min="59" max="59" width="23.578125" bestFit="1" customWidth="1"/>
    <col min="60" max="60" width="18.68359375" bestFit="1" customWidth="1"/>
    <col min="61" max="61" width="18.41796875" bestFit="1" customWidth="1"/>
    <col min="62" max="62" width="19" bestFit="1" customWidth="1"/>
    <col min="63" max="63" width="17.578125" bestFit="1" customWidth="1"/>
    <col min="64" max="64" width="19.83984375" customWidth="1"/>
    <col min="65" max="65" width="16.41796875" bestFit="1" customWidth="1"/>
    <col min="66" max="66" width="15" bestFit="1" customWidth="1"/>
    <col min="67" max="67" width="16.68359375" bestFit="1" customWidth="1"/>
    <col min="68" max="68" width="16.41796875" bestFit="1" customWidth="1"/>
    <col min="69" max="69" width="22.68359375" bestFit="1" customWidth="1"/>
  </cols>
  <sheetData>
    <row r="1" spans="1:69" x14ac:dyDescent="0.55000000000000004">
      <c r="A1" s="16" t="s">
        <v>65</v>
      </c>
      <c r="B1" s="16" t="s">
        <v>72</v>
      </c>
      <c r="C1" s="16" t="s">
        <v>66</v>
      </c>
      <c r="D1" s="16" t="s">
        <v>67</v>
      </c>
      <c r="E1" s="16" t="s">
        <v>68</v>
      </c>
      <c r="F1" s="16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29" t="s">
        <v>58</v>
      </c>
      <c r="M1" s="29" t="s">
        <v>57</v>
      </c>
      <c r="N1" s="16" t="s">
        <v>56</v>
      </c>
      <c r="O1" s="16" t="s">
        <v>55</v>
      </c>
      <c r="P1" s="16" t="s">
        <v>54</v>
      </c>
      <c r="Q1" s="28" t="s">
        <v>53</v>
      </c>
      <c r="R1" s="28" t="s">
        <v>52</v>
      </c>
      <c r="S1" s="9" t="s">
        <v>51</v>
      </c>
      <c r="T1" s="9" t="s">
        <v>50</v>
      </c>
      <c r="U1" s="16" t="s">
        <v>49</v>
      </c>
      <c r="V1" s="27" t="s">
        <v>48</v>
      </c>
      <c r="W1" s="25" t="s">
        <v>47</v>
      </c>
      <c r="X1" s="16" t="s">
        <v>46</v>
      </c>
      <c r="Y1" s="16" t="s">
        <v>45</v>
      </c>
      <c r="Z1" s="16" t="s">
        <v>44</v>
      </c>
      <c r="AA1" s="16" t="s">
        <v>43</v>
      </c>
      <c r="AB1" s="16" t="s">
        <v>42</v>
      </c>
      <c r="AC1" s="9" t="s">
        <v>41</v>
      </c>
      <c r="AD1" s="9" t="s">
        <v>40</v>
      </c>
      <c r="AE1" s="9" t="s">
        <v>39</v>
      </c>
      <c r="AF1" s="9" t="s">
        <v>38</v>
      </c>
      <c r="AG1" s="25" t="s">
        <v>37</v>
      </c>
      <c r="AH1" s="16" t="s">
        <v>36</v>
      </c>
      <c r="AI1" s="16" t="s">
        <v>35</v>
      </c>
      <c r="AJ1" s="16" t="s">
        <v>34</v>
      </c>
      <c r="AK1" s="16" t="s">
        <v>33</v>
      </c>
      <c r="AL1" s="16" t="s">
        <v>32</v>
      </c>
      <c r="AM1" s="16" t="s">
        <v>31</v>
      </c>
      <c r="AN1" s="9" t="s">
        <v>30</v>
      </c>
      <c r="AO1" s="9" t="s">
        <v>29</v>
      </c>
      <c r="AP1" s="9" t="s">
        <v>28</v>
      </c>
      <c r="AQ1" s="25" t="s">
        <v>27</v>
      </c>
      <c r="AR1" s="16" t="s">
        <v>26</v>
      </c>
      <c r="AS1" s="16" t="s">
        <v>25</v>
      </c>
      <c r="AT1" s="16" t="s">
        <v>24</v>
      </c>
      <c r="AU1" s="16" t="s">
        <v>23</v>
      </c>
      <c r="AV1" s="16" t="s">
        <v>22</v>
      </c>
      <c r="AW1" s="16" t="s">
        <v>21</v>
      </c>
      <c r="AX1" s="9" t="s">
        <v>20</v>
      </c>
      <c r="AY1" s="9" t="s">
        <v>19</v>
      </c>
      <c r="AZ1" s="9" t="s">
        <v>18</v>
      </c>
      <c r="BA1" s="9" t="s">
        <v>17</v>
      </c>
      <c r="BB1" s="26" t="s">
        <v>16</v>
      </c>
      <c r="BC1" s="16" t="s">
        <v>15</v>
      </c>
      <c r="BD1" s="16" t="s">
        <v>14</v>
      </c>
      <c r="BE1" s="16" t="s">
        <v>13</v>
      </c>
      <c r="BF1" s="16" t="s">
        <v>12</v>
      </c>
      <c r="BG1" s="16" t="s">
        <v>11</v>
      </c>
      <c r="BH1" s="9" t="s">
        <v>10</v>
      </c>
      <c r="BI1" s="9" t="s">
        <v>9</v>
      </c>
      <c r="BJ1" s="9" t="s">
        <v>8</v>
      </c>
      <c r="BK1" s="9" t="s">
        <v>7</v>
      </c>
      <c r="BL1" s="25" t="s">
        <v>6</v>
      </c>
      <c r="BM1" s="16" t="s">
        <v>5</v>
      </c>
      <c r="BN1" s="16" t="s">
        <v>4</v>
      </c>
      <c r="BO1" s="16" t="s">
        <v>3</v>
      </c>
      <c r="BP1" s="16" t="s">
        <v>2</v>
      </c>
      <c r="BQ1" s="16" t="s">
        <v>1</v>
      </c>
    </row>
    <row r="2" spans="1:69" x14ac:dyDescent="0.55000000000000004">
      <c r="A2" s="30" t="s">
        <v>82</v>
      </c>
      <c r="B2" s="16" t="s">
        <v>0</v>
      </c>
      <c r="C2" s="16">
        <v>10</v>
      </c>
      <c r="D2" s="16">
        <v>24</v>
      </c>
      <c r="E2" s="16" t="s">
        <v>69</v>
      </c>
      <c r="F2" s="15">
        <v>1552.2760000000001</v>
      </c>
      <c r="G2" s="9">
        <v>9582110</v>
      </c>
      <c r="H2" s="9">
        <v>6425496</v>
      </c>
      <c r="I2" s="9">
        <v>8368080</v>
      </c>
      <c r="J2" s="9">
        <v>32363123</v>
      </c>
      <c r="K2" s="9">
        <v>56738809</v>
      </c>
      <c r="L2" s="17">
        <v>12393729.84</v>
      </c>
      <c r="M2" s="17">
        <v>69132538.840000004</v>
      </c>
      <c r="N2" s="7">
        <v>222.12353034576884</v>
      </c>
      <c r="O2" s="7">
        <v>289.43160083762825</v>
      </c>
      <c r="P2" s="7">
        <v>250.51170135746614</v>
      </c>
      <c r="Q2" s="14">
        <v>116.74297950037666</v>
      </c>
      <c r="R2" s="14">
        <v>152.17974643253245</v>
      </c>
      <c r="S2" s="9">
        <v>1033468</v>
      </c>
      <c r="T2" s="9">
        <v>713061</v>
      </c>
      <c r="U2" s="9">
        <v>1184247</v>
      </c>
      <c r="V2" s="13">
        <v>3703523</v>
      </c>
      <c r="W2" s="8">
        <v>1441927</v>
      </c>
      <c r="X2" s="12">
        <v>217.55157317073187</v>
      </c>
      <c r="Y2" s="12">
        <v>288.77003408071749</v>
      </c>
      <c r="Z2" s="12">
        <v>259.96858218085089</v>
      </c>
      <c r="AA2" s="12">
        <v>117.97616558773427</v>
      </c>
      <c r="AB2" s="12">
        <v>156.05970053191493</v>
      </c>
      <c r="AC2" s="9">
        <v>2329419</v>
      </c>
      <c r="AD2" s="9">
        <v>1693611</v>
      </c>
      <c r="AE2" s="9">
        <v>2245020</v>
      </c>
      <c r="AF2" s="9">
        <v>8006675</v>
      </c>
      <c r="AG2" s="8">
        <v>3801774.5</v>
      </c>
      <c r="AH2" s="12">
        <v>245.09347228915675</v>
      </c>
      <c r="AI2" s="12">
        <v>305.45894426229501</v>
      </c>
      <c r="AJ2" s="12">
        <v>256.98563954659954</v>
      </c>
      <c r="AK2" s="12">
        <v>114.89736259649126</v>
      </c>
      <c r="AL2" s="12">
        <v>150.67818085642318</v>
      </c>
      <c r="AM2" s="9">
        <v>174389</v>
      </c>
      <c r="AN2" s="9">
        <v>168663</v>
      </c>
      <c r="AO2" s="9">
        <v>172307</v>
      </c>
      <c r="AP2" s="9">
        <v>955239</v>
      </c>
      <c r="AQ2" s="8">
        <v>405527.34</v>
      </c>
      <c r="AR2" s="12">
        <v>195.82555522388051</v>
      </c>
      <c r="AS2" s="12">
        <v>279.77105199999988</v>
      </c>
      <c r="AT2" s="12">
        <v>163.76862386706949</v>
      </c>
      <c r="AU2" s="12">
        <v>116.00729978177841</v>
      </c>
      <c r="AV2" s="12">
        <v>127.5381688821753</v>
      </c>
      <c r="AW2" s="9">
        <v>10886533</v>
      </c>
      <c r="AX2" s="9">
        <v>2332359</v>
      </c>
      <c r="AY2" s="9">
        <v>1938157</v>
      </c>
      <c r="AZ2" s="9">
        <v>2174678</v>
      </c>
      <c r="BA2" s="9">
        <v>10886533</v>
      </c>
      <c r="BB2" s="11">
        <v>3781801.75</v>
      </c>
      <c r="BC2" s="10">
        <v>212.7437568245125</v>
      </c>
      <c r="BD2" s="10">
        <v>262.87631186440706</v>
      </c>
      <c r="BE2" s="10">
        <v>256.37116047904175</v>
      </c>
      <c r="BF2" s="10">
        <v>110.21416758703486</v>
      </c>
      <c r="BG2" s="10">
        <v>133.74170928143715</v>
      </c>
      <c r="BH2" s="9">
        <v>3712475</v>
      </c>
      <c r="BI2" s="9">
        <v>1912004</v>
      </c>
      <c r="BJ2" s="9">
        <v>2591828</v>
      </c>
      <c r="BK2" s="9">
        <v>8811153</v>
      </c>
      <c r="BL2" s="8">
        <v>2962699.25</v>
      </c>
      <c r="BM2" s="7">
        <v>227.61510935251809</v>
      </c>
      <c r="BN2" s="7">
        <v>311.76325598885791</v>
      </c>
      <c r="BO2" s="7">
        <v>284.07813668032748</v>
      </c>
      <c r="BP2" s="7">
        <v>125.03992501510564</v>
      </c>
      <c r="BQ2" s="7">
        <v>168.81624036885245</v>
      </c>
    </row>
    <row r="3" spans="1:69" ht="15" customHeight="1" x14ac:dyDescent="0.55000000000000004">
      <c r="A3" s="31" t="s">
        <v>83</v>
      </c>
      <c r="B3" s="27" t="s">
        <v>0</v>
      </c>
      <c r="C3" s="16">
        <v>15</v>
      </c>
      <c r="D3" s="16">
        <v>12</v>
      </c>
      <c r="E3" s="16" t="s">
        <v>69</v>
      </c>
      <c r="F3" s="15">
        <v>1019</v>
      </c>
      <c r="G3" s="9">
        <v>10250509</v>
      </c>
      <c r="H3" s="9">
        <v>4729764</v>
      </c>
      <c r="I3" s="9">
        <v>10595529</v>
      </c>
      <c r="J3" s="9">
        <v>24793645</v>
      </c>
      <c r="K3" s="9">
        <v>50369447</v>
      </c>
      <c r="L3" s="17">
        <v>11296962.260000002</v>
      </c>
      <c r="M3" s="17">
        <v>61666409.260000005</v>
      </c>
      <c r="N3" s="7">
        <v>279.26287430340523</v>
      </c>
      <c r="O3" s="7">
        <v>283.30087828348513</v>
      </c>
      <c r="P3" s="7">
        <v>375.52281958820186</v>
      </c>
      <c r="Q3" s="14">
        <v>130.87974132858858</v>
      </c>
      <c r="R3" s="14">
        <v>202.80944667947531</v>
      </c>
      <c r="S3" s="9">
        <v>1044452</v>
      </c>
      <c r="T3" s="9">
        <v>367087</v>
      </c>
      <c r="U3" s="9">
        <v>1092523</v>
      </c>
      <c r="V3" s="13">
        <v>2202526</v>
      </c>
      <c r="W3" s="8">
        <v>1173480.8800000001</v>
      </c>
      <c r="X3" s="12">
        <v>288.04978902953593</v>
      </c>
      <c r="Y3" s="12">
        <v>267.14484352941156</v>
      </c>
      <c r="Z3" s="12">
        <v>358.66643959999999</v>
      </c>
      <c r="AA3" s="12">
        <v>129.7281813492063</v>
      </c>
      <c r="AB3" s="12">
        <v>201.06607600000009</v>
      </c>
      <c r="AC3" s="9">
        <v>2629390</v>
      </c>
      <c r="AD3" s="9">
        <v>1212353</v>
      </c>
      <c r="AE3" s="9">
        <v>2873436</v>
      </c>
      <c r="AF3" s="9">
        <v>6384538</v>
      </c>
      <c r="AG3" s="8">
        <v>3139994</v>
      </c>
      <c r="AH3" s="12">
        <v>278.388892215569</v>
      </c>
      <c r="AI3" s="12">
        <v>310.22427012987021</v>
      </c>
      <c r="AJ3" s="12">
        <v>364.2254446575343</v>
      </c>
      <c r="AK3" s="12">
        <v>129.01691320987655</v>
      </c>
      <c r="AL3" s="12">
        <v>198.24729013698621</v>
      </c>
      <c r="AM3" s="9">
        <v>245142</v>
      </c>
      <c r="AN3" s="9">
        <v>142767</v>
      </c>
      <c r="AO3" s="9">
        <v>332892</v>
      </c>
      <c r="AP3" s="9">
        <v>844766</v>
      </c>
      <c r="AQ3" s="8">
        <v>330577.88</v>
      </c>
      <c r="AR3" s="12">
        <v>271.09879545454538</v>
      </c>
      <c r="AS3" s="12">
        <v>244.13212990196081</v>
      </c>
      <c r="AT3" s="12">
        <v>350.69527106918264</v>
      </c>
      <c r="AU3" s="12">
        <v>129.17127192402975</v>
      </c>
      <c r="AV3" s="12">
        <v>191.59166310272528</v>
      </c>
      <c r="AW3" s="9">
        <v>8924766</v>
      </c>
      <c r="AX3" s="9">
        <v>3852711</v>
      </c>
      <c r="AY3" s="9">
        <v>1905862</v>
      </c>
      <c r="AZ3" s="9">
        <v>3227670</v>
      </c>
      <c r="BA3" s="9">
        <v>8924766</v>
      </c>
      <c r="BB3" s="11">
        <v>3150264.25</v>
      </c>
      <c r="BC3" s="10">
        <v>281.12060317460288</v>
      </c>
      <c r="BD3" s="10">
        <v>310.19036774193546</v>
      </c>
      <c r="BE3" s="10">
        <v>459.30245206349213</v>
      </c>
      <c r="BF3" s="10">
        <v>136.76035606407291</v>
      </c>
      <c r="BG3" s="10">
        <v>214.61910634920642</v>
      </c>
      <c r="BH3" s="9">
        <v>2478814</v>
      </c>
      <c r="BI3" s="9">
        <v>1101695</v>
      </c>
      <c r="BJ3" s="9">
        <v>3069008</v>
      </c>
      <c r="BK3" s="9">
        <v>6437049</v>
      </c>
      <c r="BL3" s="8">
        <v>3502645.25</v>
      </c>
      <c r="BM3" s="7">
        <v>280.47607643312131</v>
      </c>
      <c r="BN3" s="7">
        <v>284.84402285714282</v>
      </c>
      <c r="BO3" s="7">
        <v>359.59921256410263</v>
      </c>
      <c r="BP3" s="7">
        <v>129.67701605392168</v>
      </c>
      <c r="BQ3" s="7">
        <v>196.4980794871795</v>
      </c>
    </row>
    <row r="4" spans="1:69" x14ac:dyDescent="0.55000000000000004">
      <c r="A4" s="31" t="s">
        <v>84</v>
      </c>
      <c r="B4" s="27" t="s">
        <v>0</v>
      </c>
      <c r="C4" s="16">
        <v>15</v>
      </c>
      <c r="D4" s="16">
        <v>3</v>
      </c>
      <c r="E4" s="16" t="s">
        <v>69</v>
      </c>
      <c r="F4" s="15">
        <v>1570.5360000000001</v>
      </c>
      <c r="G4" s="9">
        <v>9210455</v>
      </c>
      <c r="H4" s="9">
        <v>4855050.5</v>
      </c>
      <c r="I4" s="9">
        <v>8293016.5</v>
      </c>
      <c r="J4" s="9">
        <v>33264298.5</v>
      </c>
      <c r="K4" s="9">
        <v>55622820.5</v>
      </c>
      <c r="L4" s="17">
        <v>10096789.810000001</v>
      </c>
      <c r="M4" s="17">
        <v>65719610.310000002</v>
      </c>
      <c r="N4" s="7">
        <v>254.42476316848746</v>
      </c>
      <c r="O4" s="7">
        <v>302.71813794212284</v>
      </c>
      <c r="P4" s="7">
        <v>215.30757056000027</v>
      </c>
      <c r="Q4" s="14">
        <v>132.5278946643021</v>
      </c>
      <c r="R4" s="14">
        <v>142.84300552606192</v>
      </c>
      <c r="S4" s="9">
        <v>866902</v>
      </c>
      <c r="T4" s="9">
        <v>475028.5</v>
      </c>
      <c r="U4" s="9">
        <v>764131</v>
      </c>
      <c r="V4" s="13">
        <v>2532877.5</v>
      </c>
      <c r="W4" s="8">
        <v>913679.75</v>
      </c>
      <c r="X4" s="12">
        <v>257.2541873584907</v>
      </c>
      <c r="Y4" s="12">
        <v>294.57109725085917</v>
      </c>
      <c r="Z4" s="12">
        <v>234.22043499999992</v>
      </c>
      <c r="AA4" s="12">
        <v>130.9464130102042</v>
      </c>
      <c r="AB4" s="12">
        <v>145.1751358333334</v>
      </c>
      <c r="AC4" s="9">
        <v>2111675.5</v>
      </c>
      <c r="AD4" s="9">
        <v>1325224.5</v>
      </c>
      <c r="AE4" s="9">
        <v>1959263</v>
      </c>
      <c r="AF4" s="9">
        <v>7805654</v>
      </c>
      <c r="AG4" s="8">
        <v>2613611.25</v>
      </c>
      <c r="AH4" s="12">
        <v>257.13462518301623</v>
      </c>
      <c r="AI4" s="12">
        <v>324.64648896713635</v>
      </c>
      <c r="AJ4" s="12">
        <v>212.74221500789889</v>
      </c>
      <c r="AK4" s="12">
        <v>131.39850939864593</v>
      </c>
      <c r="AL4" s="12">
        <v>142.3988500789892</v>
      </c>
      <c r="AM4" s="9">
        <v>109147</v>
      </c>
      <c r="AN4" s="9">
        <v>74827.5</v>
      </c>
      <c r="AO4" s="9">
        <v>110833.5</v>
      </c>
      <c r="AP4" s="9">
        <v>472485.5</v>
      </c>
      <c r="AQ4" s="8">
        <v>317637.31</v>
      </c>
      <c r="AR4" s="12">
        <v>243.11814065934087</v>
      </c>
      <c r="AS4" s="12">
        <v>296.24709391025618</v>
      </c>
      <c r="AT4" s="12">
        <v>152.76907543478256</v>
      </c>
      <c r="AU4" s="12">
        <v>121.46337281504059</v>
      </c>
      <c r="AV4" s="12">
        <v>116.80557108695648</v>
      </c>
      <c r="AW4" s="9">
        <v>14430309.5</v>
      </c>
      <c r="AX4" s="9">
        <v>2800755.5</v>
      </c>
      <c r="AY4" s="9">
        <v>2026752</v>
      </c>
      <c r="AZ4" s="9">
        <v>3266483</v>
      </c>
      <c r="BA4" s="9">
        <v>14430309.5</v>
      </c>
      <c r="BB4" s="11">
        <v>3496237.75</v>
      </c>
      <c r="BC4" s="10">
        <v>241.32640710382489</v>
      </c>
      <c r="BD4" s="10">
        <v>292.52980417457297</v>
      </c>
      <c r="BE4" s="10">
        <v>197.57113673708915</v>
      </c>
      <c r="BF4" s="10">
        <v>132.04820007966012</v>
      </c>
      <c r="BG4" s="10">
        <v>134.76234072769964</v>
      </c>
      <c r="BH4" s="9">
        <v>3321975</v>
      </c>
      <c r="BI4" s="9">
        <v>953218</v>
      </c>
      <c r="BJ4" s="9">
        <v>2192306</v>
      </c>
      <c r="BK4" s="9">
        <v>8022972</v>
      </c>
      <c r="BL4" s="8">
        <v>2755623.75</v>
      </c>
      <c r="BM4" s="7">
        <v>260.63859324155197</v>
      </c>
      <c r="BN4" s="7">
        <v>297.97506739130449</v>
      </c>
      <c r="BO4" s="7">
        <v>267.75615748175204</v>
      </c>
      <c r="BP4" s="7">
        <v>142.68433510941983</v>
      </c>
      <c r="BQ4" s="7">
        <v>155.78341551094897</v>
      </c>
    </row>
    <row r="5" spans="1:69" ht="15" customHeight="1" x14ac:dyDescent="0.55000000000000004">
      <c r="A5" s="31" t="s">
        <v>85</v>
      </c>
      <c r="B5" s="27" t="s">
        <v>0</v>
      </c>
      <c r="C5" s="16">
        <v>16</v>
      </c>
      <c r="D5" s="16">
        <v>48</v>
      </c>
      <c r="E5" s="16" t="s">
        <v>69</v>
      </c>
      <c r="F5" s="15">
        <v>1451.6759999999999</v>
      </c>
      <c r="G5" s="9">
        <v>10480017</v>
      </c>
      <c r="H5" s="9">
        <v>5576675</v>
      </c>
      <c r="I5" s="9">
        <v>6661993</v>
      </c>
      <c r="J5" s="9">
        <v>35501676</v>
      </c>
      <c r="K5" s="9">
        <v>58220361</v>
      </c>
      <c r="L5" s="17">
        <v>10421182.310000001</v>
      </c>
      <c r="M5" s="17">
        <v>68641543.310000002</v>
      </c>
      <c r="N5" s="7">
        <v>183.128910105871</v>
      </c>
      <c r="O5" s="7">
        <v>204.66412010135127</v>
      </c>
      <c r="P5" s="7">
        <v>180.87825786163506</v>
      </c>
      <c r="Q5" s="14">
        <v>90.503633704363438</v>
      </c>
      <c r="R5" s="14">
        <v>111.34725197351743</v>
      </c>
      <c r="S5" s="9">
        <v>1026307</v>
      </c>
      <c r="T5" s="9">
        <v>499284</v>
      </c>
      <c r="U5" s="9">
        <v>644909</v>
      </c>
      <c r="V5" s="13">
        <v>2579637</v>
      </c>
      <c r="W5" s="8">
        <v>873933</v>
      </c>
      <c r="X5" s="12">
        <v>185.81591717171693</v>
      </c>
      <c r="Y5" s="12">
        <v>197.41799034482759</v>
      </c>
      <c r="Z5" s="12">
        <v>158.20172192513371</v>
      </c>
      <c r="AA5" s="12">
        <v>90.80853691275162</v>
      </c>
      <c r="AB5" s="12">
        <v>103.63656203208554</v>
      </c>
      <c r="AC5" s="9">
        <v>2127291</v>
      </c>
      <c r="AD5" s="9">
        <v>1189521</v>
      </c>
      <c r="AE5" s="9">
        <v>1718197</v>
      </c>
      <c r="AF5" s="9">
        <v>6860201</v>
      </c>
      <c r="AG5" s="8">
        <v>2563390</v>
      </c>
      <c r="AH5" s="12">
        <v>182.05624497041407</v>
      </c>
      <c r="AI5" s="12">
        <v>232.35449894179885</v>
      </c>
      <c r="AJ5" s="12">
        <v>181.39203211678836</v>
      </c>
      <c r="AK5" s="12">
        <v>89.169177981651302</v>
      </c>
      <c r="AL5" s="12">
        <v>104.89730218978107</v>
      </c>
      <c r="AM5" s="9">
        <v>254653</v>
      </c>
      <c r="AN5" s="9">
        <v>188096</v>
      </c>
      <c r="AO5" s="9">
        <v>108227</v>
      </c>
      <c r="AP5" s="9">
        <v>785375</v>
      </c>
      <c r="AQ5" s="8">
        <v>396168.06</v>
      </c>
      <c r="AR5" s="12">
        <v>191.74224272727278</v>
      </c>
      <c r="AS5" s="12">
        <v>180.56897392638032</v>
      </c>
      <c r="AT5" s="12">
        <v>142.44831978609631</v>
      </c>
      <c r="AU5" s="12">
        <v>88.563819089574494</v>
      </c>
      <c r="AV5" s="12">
        <v>97.504861497326146</v>
      </c>
      <c r="AW5" s="9">
        <v>15919874</v>
      </c>
      <c r="AX5" s="9">
        <v>4121269</v>
      </c>
      <c r="AY5" s="9">
        <v>2135210</v>
      </c>
      <c r="AZ5" s="9">
        <v>1554307</v>
      </c>
      <c r="BA5" s="9">
        <v>15919874</v>
      </c>
      <c r="BB5" s="11">
        <v>3605876.25</v>
      </c>
      <c r="BC5" s="10">
        <v>175.11601121673004</v>
      </c>
      <c r="BD5" s="10">
        <v>199.67410698529417</v>
      </c>
      <c r="BE5" s="10">
        <v>180.47184673366823</v>
      </c>
      <c r="BF5" s="10">
        <v>92.346426206896481</v>
      </c>
      <c r="BG5" s="10">
        <v>105.81150402010047</v>
      </c>
      <c r="BH5" s="9">
        <v>2950497</v>
      </c>
      <c r="BI5" s="9">
        <v>1564564</v>
      </c>
      <c r="BJ5" s="9">
        <v>2636353</v>
      </c>
      <c r="BK5" s="9">
        <v>9356589</v>
      </c>
      <c r="BL5" s="8">
        <v>2981815</v>
      </c>
      <c r="BM5" s="7">
        <v>183.10676792452833</v>
      </c>
      <c r="BN5" s="7">
        <v>224.62248690476198</v>
      </c>
      <c r="BO5" s="7">
        <v>207.62416917647073</v>
      </c>
      <c r="BP5" s="7">
        <v>90.588718133686314</v>
      </c>
      <c r="BQ5" s="7">
        <v>121.26904541176478</v>
      </c>
    </row>
    <row r="6" spans="1:69" x14ac:dyDescent="0.55000000000000004">
      <c r="A6" s="31" t="s">
        <v>86</v>
      </c>
      <c r="B6" s="27" t="s">
        <v>0</v>
      </c>
      <c r="C6" s="16">
        <v>20</v>
      </c>
      <c r="D6" s="16">
        <v>24</v>
      </c>
      <c r="E6" s="16" t="s">
        <v>69</v>
      </c>
      <c r="F6" s="15">
        <v>1387.732</v>
      </c>
      <c r="G6" s="9">
        <v>9580421</v>
      </c>
      <c r="H6" s="9">
        <v>6484846</v>
      </c>
      <c r="I6" s="9">
        <v>10036797</v>
      </c>
      <c r="J6" s="9">
        <v>19849913</v>
      </c>
      <c r="K6" s="9">
        <v>45951977</v>
      </c>
      <c r="L6" s="17">
        <v>12441402.289999999</v>
      </c>
      <c r="M6" s="17">
        <v>58393379.289999999</v>
      </c>
      <c r="N6" s="7">
        <v>308.57829990310097</v>
      </c>
      <c r="O6" s="7">
        <v>265.65007184035397</v>
      </c>
      <c r="P6" s="7">
        <v>408.99818354487769</v>
      </c>
      <c r="Q6" s="14">
        <v>134.2609994908583</v>
      </c>
      <c r="R6" s="14">
        <v>163.32070080645914</v>
      </c>
      <c r="S6" s="9">
        <v>1093129</v>
      </c>
      <c r="T6" s="9">
        <v>752753</v>
      </c>
      <c r="U6" s="9">
        <v>1214224</v>
      </c>
      <c r="V6" s="13">
        <v>1872065</v>
      </c>
      <c r="W6" s="8">
        <v>1466284.88</v>
      </c>
      <c r="X6" s="12">
        <v>316.90529552238809</v>
      </c>
      <c r="Y6" s="12">
        <v>270.61139956140346</v>
      </c>
      <c r="Z6" s="12">
        <v>448.3717130081302</v>
      </c>
      <c r="AA6" s="12">
        <v>132.59942377622374</v>
      </c>
      <c r="AB6" s="12">
        <v>168.67513387533884</v>
      </c>
      <c r="AC6" s="9">
        <v>2583667</v>
      </c>
      <c r="AD6" s="9">
        <v>1490577</v>
      </c>
      <c r="AE6" s="9">
        <v>2308933</v>
      </c>
      <c r="AF6" s="9">
        <v>4454195</v>
      </c>
      <c r="AG6" s="8">
        <v>3521091.5</v>
      </c>
      <c r="AH6" s="12">
        <v>315.71990337078654</v>
      </c>
      <c r="AI6" s="12">
        <v>262.87240661478614</v>
      </c>
      <c r="AJ6" s="12">
        <v>371.89587663316593</v>
      </c>
      <c r="AK6" s="12">
        <v>137.58608267716545</v>
      </c>
      <c r="AL6" s="12">
        <v>169.32939874371874</v>
      </c>
      <c r="AM6" s="9">
        <v>201078</v>
      </c>
      <c r="AN6" s="9">
        <v>114397</v>
      </c>
      <c r="AO6" s="9">
        <v>235851</v>
      </c>
      <c r="AP6" s="9">
        <v>496899</v>
      </c>
      <c r="AQ6" s="8">
        <v>373148.16000000003</v>
      </c>
      <c r="AR6" s="12">
        <v>295.72398740554172</v>
      </c>
      <c r="AS6" s="12">
        <v>242.64189823788527</v>
      </c>
      <c r="AT6" s="12">
        <v>484.49360321888423</v>
      </c>
      <c r="AU6" s="12">
        <v>124.27613561224481</v>
      </c>
      <c r="AV6" s="12">
        <v>171.59588218884141</v>
      </c>
      <c r="AW6" s="9">
        <v>8385816</v>
      </c>
      <c r="AX6" s="9">
        <v>3228539</v>
      </c>
      <c r="AY6" s="9">
        <v>2417910</v>
      </c>
      <c r="AZ6" s="9">
        <v>3780605</v>
      </c>
      <c r="BA6" s="9">
        <v>8385816</v>
      </c>
      <c r="BB6" s="11">
        <v>4118207.75</v>
      </c>
      <c r="BC6" s="10">
        <v>301.82464794816428</v>
      </c>
      <c r="BD6" s="10">
        <v>244.34999308357348</v>
      </c>
      <c r="BE6" s="10">
        <v>363.63327084870843</v>
      </c>
      <c r="BF6" s="10">
        <v>134.70612302576896</v>
      </c>
      <c r="BG6" s="10">
        <v>157.1256667896678</v>
      </c>
      <c r="BH6" s="9">
        <v>2474008</v>
      </c>
      <c r="BI6" s="9">
        <v>1709209</v>
      </c>
      <c r="BJ6" s="9">
        <v>2497184</v>
      </c>
      <c r="BK6" s="9">
        <v>4640938</v>
      </c>
      <c r="BL6" s="8">
        <v>2962670</v>
      </c>
      <c r="BM6" s="7">
        <v>313.91449292452808</v>
      </c>
      <c r="BN6" s="7">
        <v>307.13530986394545</v>
      </c>
      <c r="BO6" s="7">
        <v>384.97220417633343</v>
      </c>
      <c r="BP6" s="7">
        <v>143.79631156716408</v>
      </c>
      <c r="BQ6" s="7">
        <v>163.75883619489557</v>
      </c>
    </row>
    <row r="7" spans="1:69" x14ac:dyDescent="0.55000000000000004">
      <c r="A7" s="31" t="s">
        <v>87</v>
      </c>
      <c r="B7" s="27" t="s">
        <v>0</v>
      </c>
      <c r="C7" s="16">
        <v>28</v>
      </c>
      <c r="D7" s="16">
        <v>18</v>
      </c>
      <c r="E7" s="16" t="s">
        <v>70</v>
      </c>
      <c r="F7" s="15">
        <v>1314.904</v>
      </c>
      <c r="G7" s="9">
        <v>7864251</v>
      </c>
      <c r="H7" s="9">
        <v>4696391</v>
      </c>
      <c r="I7" s="9">
        <v>7564011</v>
      </c>
      <c r="J7" s="9">
        <v>27572235</v>
      </c>
      <c r="K7" s="9">
        <v>47696888</v>
      </c>
      <c r="L7" s="17">
        <v>8625037.5399999991</v>
      </c>
      <c r="M7" s="17">
        <v>56321925.539999999</v>
      </c>
      <c r="N7" s="7">
        <v>237.10817264285774</v>
      </c>
      <c r="O7" s="7">
        <v>235.11819173553698</v>
      </c>
      <c r="P7" s="7">
        <v>286.3982371694064</v>
      </c>
      <c r="Q7" s="14">
        <v>109.60827502074706</v>
      </c>
      <c r="R7" s="14">
        <v>171.33101235810506</v>
      </c>
      <c r="S7" s="9">
        <v>880786</v>
      </c>
      <c r="T7" s="9">
        <v>556909</v>
      </c>
      <c r="U7" s="9">
        <v>813641</v>
      </c>
      <c r="V7" s="13">
        <v>2539666</v>
      </c>
      <c r="W7" s="8">
        <v>770302.06</v>
      </c>
      <c r="X7" s="12">
        <v>248.68658744394628</v>
      </c>
      <c r="Y7" s="12">
        <v>251.71575642857127</v>
      </c>
      <c r="Z7" s="12">
        <v>313.25886536585364</v>
      </c>
      <c r="AA7" s="12">
        <v>108.46703497688748</v>
      </c>
      <c r="AB7" s="12">
        <v>172.13883170731708</v>
      </c>
      <c r="AC7" s="9">
        <v>1807436</v>
      </c>
      <c r="AD7" s="9">
        <v>1107322</v>
      </c>
      <c r="AE7" s="9">
        <v>1657412</v>
      </c>
      <c r="AF7" s="9">
        <v>6615360</v>
      </c>
      <c r="AG7" s="8">
        <v>2179458.75</v>
      </c>
      <c r="AH7" s="12">
        <v>228.2364082677166</v>
      </c>
      <c r="AI7" s="12">
        <v>215.43826794871808</v>
      </c>
      <c r="AJ7" s="12">
        <v>269.97450729613752</v>
      </c>
      <c r="AK7" s="12">
        <v>106.60539066232356</v>
      </c>
      <c r="AL7" s="12">
        <v>154.73200257510734</v>
      </c>
      <c r="AM7" s="9">
        <v>161545</v>
      </c>
      <c r="AN7" s="9">
        <v>97560</v>
      </c>
      <c r="AO7" s="9">
        <v>186252</v>
      </c>
      <c r="AP7" s="9">
        <v>549255</v>
      </c>
      <c r="AQ7" s="8">
        <v>254744.47999999998</v>
      </c>
      <c r="AR7" s="12">
        <v>237.32327450980398</v>
      </c>
      <c r="AS7" s="12">
        <v>231.95122532467548</v>
      </c>
      <c r="AT7" s="12">
        <v>211.60781530612243</v>
      </c>
      <c r="AU7" s="12">
        <v>100.32592754629638</v>
      </c>
      <c r="AV7" s="12">
        <v>134.7524785714285</v>
      </c>
      <c r="AW7" s="9">
        <v>9956834</v>
      </c>
      <c r="AX7" s="9">
        <v>2803545</v>
      </c>
      <c r="AY7" s="9">
        <v>1486728</v>
      </c>
      <c r="AZ7" s="9">
        <v>2395757</v>
      </c>
      <c r="BA7" s="9">
        <v>9956834</v>
      </c>
      <c r="BB7" s="11">
        <v>2853421</v>
      </c>
      <c r="BC7" s="10">
        <v>227.66177039274933</v>
      </c>
      <c r="BD7" s="10">
        <v>226.44693257142859</v>
      </c>
      <c r="BE7" s="10">
        <v>291.79323180212032</v>
      </c>
      <c r="BF7" s="10">
        <v>111.27636001705037</v>
      </c>
      <c r="BG7" s="10">
        <v>160.37367455830397</v>
      </c>
      <c r="BH7" s="9">
        <v>2210939</v>
      </c>
      <c r="BI7" s="9">
        <v>1447872</v>
      </c>
      <c r="BJ7" s="9">
        <v>2510949</v>
      </c>
      <c r="BK7" s="9">
        <v>7911120</v>
      </c>
      <c r="BL7" s="8">
        <v>2567111.25</v>
      </c>
      <c r="BM7" s="7">
        <v>245.24867655786352</v>
      </c>
      <c r="BN7" s="7">
        <v>247.5127513513514</v>
      </c>
      <c r="BO7" s="7">
        <v>335.30943723958325</v>
      </c>
      <c r="BP7" s="7">
        <v>117.49748013190428</v>
      </c>
      <c r="BQ7" s="7">
        <v>195.19372994791661</v>
      </c>
    </row>
    <row r="8" spans="1:69" x14ac:dyDescent="0.55000000000000004">
      <c r="A8" s="31" t="s">
        <v>88</v>
      </c>
      <c r="B8" s="27" t="s">
        <v>0</v>
      </c>
      <c r="C8" s="16">
        <v>36</v>
      </c>
      <c r="D8" s="16">
        <v>24</v>
      </c>
      <c r="E8" s="16" t="s">
        <v>70</v>
      </c>
      <c r="F8" s="15">
        <v>996.55200000000002</v>
      </c>
      <c r="G8" s="9">
        <v>7298106</v>
      </c>
      <c r="H8" s="9">
        <v>4089938</v>
      </c>
      <c r="I8" s="9">
        <v>5789270</v>
      </c>
      <c r="J8" s="9">
        <v>23341570</v>
      </c>
      <c r="K8" s="9">
        <v>40518884</v>
      </c>
      <c r="L8" s="17">
        <v>8871753.9700000007</v>
      </c>
      <c r="M8" s="17">
        <v>49390637.969999999</v>
      </c>
      <c r="N8" s="7">
        <v>274.19385714285733</v>
      </c>
      <c r="O8" s="7">
        <v>286.21940803709452</v>
      </c>
      <c r="P8" s="7">
        <v>240.96017447033907</v>
      </c>
      <c r="Q8" s="14">
        <v>103.03761483347334</v>
      </c>
      <c r="R8" s="14">
        <v>147.00499747084453</v>
      </c>
      <c r="S8" s="9">
        <v>954060</v>
      </c>
      <c r="T8" s="9">
        <v>511723</v>
      </c>
      <c r="U8" s="9">
        <v>741565</v>
      </c>
      <c r="V8" s="13">
        <v>2480558</v>
      </c>
      <c r="W8" s="8">
        <v>874987.12999999989</v>
      </c>
      <c r="X8" s="12">
        <v>291.08319230769234</v>
      </c>
      <c r="Y8" s="12">
        <v>265.61352086330947</v>
      </c>
      <c r="Z8" s="12">
        <v>257.52602791878172</v>
      </c>
      <c r="AA8" s="12">
        <v>104.3648803863299</v>
      </c>
      <c r="AB8" s="12">
        <v>151.49955888324865</v>
      </c>
      <c r="AC8" s="9">
        <v>1876739</v>
      </c>
      <c r="AD8" s="9">
        <v>903615</v>
      </c>
      <c r="AE8" s="9">
        <v>1258882</v>
      </c>
      <c r="AF8" s="9">
        <v>5097317</v>
      </c>
      <c r="AG8" s="8">
        <v>2099967</v>
      </c>
      <c r="AH8" s="12">
        <v>282.84686885245878</v>
      </c>
      <c r="AI8" s="12">
        <v>291.96688898305075</v>
      </c>
      <c r="AJ8" s="12">
        <v>237.3171224242422</v>
      </c>
      <c r="AK8" s="12">
        <v>101.82656661654134</v>
      </c>
      <c r="AL8" s="12">
        <v>156.44185939393941</v>
      </c>
      <c r="AM8" s="9">
        <v>149948</v>
      </c>
      <c r="AN8" s="9">
        <v>81315</v>
      </c>
      <c r="AO8" s="9">
        <v>132789</v>
      </c>
      <c r="AP8" s="9">
        <v>423733</v>
      </c>
      <c r="AQ8" s="8">
        <v>331487.83999999997</v>
      </c>
      <c r="AR8" s="12">
        <v>278.51219154228846</v>
      </c>
      <c r="AS8" s="12">
        <v>276.97126545454546</v>
      </c>
      <c r="AT8" s="12">
        <v>221.45694576271165</v>
      </c>
      <c r="AU8" s="12">
        <v>100.43580599647268</v>
      </c>
      <c r="AV8" s="12">
        <v>128.07843898305089</v>
      </c>
      <c r="AW8" s="9">
        <v>8995496</v>
      </c>
      <c r="AX8" s="9">
        <v>2318625</v>
      </c>
      <c r="AY8" s="9">
        <v>1404644</v>
      </c>
      <c r="AZ8" s="9">
        <v>1808720</v>
      </c>
      <c r="BA8" s="9">
        <v>8995496</v>
      </c>
      <c r="BB8" s="11">
        <v>3102709.25</v>
      </c>
      <c r="BC8" s="10">
        <v>254.35285330578509</v>
      </c>
      <c r="BD8" s="10">
        <v>301.78787534246584</v>
      </c>
      <c r="BE8" s="10">
        <v>239.24556096256677</v>
      </c>
      <c r="BF8" s="10">
        <v>104.06955359056818</v>
      </c>
      <c r="BG8" s="10">
        <v>151.62088930481292</v>
      </c>
      <c r="BH8" s="9">
        <v>1998734</v>
      </c>
      <c r="BI8" s="9">
        <v>1188641</v>
      </c>
      <c r="BJ8" s="9">
        <v>1847314</v>
      </c>
      <c r="BK8" s="9">
        <v>6344466</v>
      </c>
      <c r="BL8" s="8">
        <v>2462602.75</v>
      </c>
      <c r="BM8" s="7">
        <v>270.30265648854953</v>
      </c>
      <c r="BN8" s="7">
        <v>291.10566193548402</v>
      </c>
      <c r="BO8" s="7">
        <v>254.08801522633726</v>
      </c>
      <c r="BP8" s="7">
        <v>105.22004561824723</v>
      </c>
      <c r="BQ8" s="7">
        <v>135.61087489711937</v>
      </c>
    </row>
    <row r="9" spans="1:69" x14ac:dyDescent="0.55000000000000004">
      <c r="A9" s="31" t="s">
        <v>89</v>
      </c>
      <c r="B9" s="27" t="s">
        <v>0</v>
      </c>
      <c r="C9" s="16">
        <v>44</v>
      </c>
      <c r="D9" s="16">
        <v>31</v>
      </c>
      <c r="E9" s="16" t="s">
        <v>70</v>
      </c>
      <c r="F9" s="15">
        <v>1593.856</v>
      </c>
      <c r="G9" s="9">
        <v>13540780.743210454</v>
      </c>
      <c r="H9" s="9">
        <v>7973249.870236868</v>
      </c>
      <c r="I9" s="9">
        <v>9789743.2450397592</v>
      </c>
      <c r="J9" s="9">
        <v>23235694.702891424</v>
      </c>
      <c r="K9" s="9">
        <v>54539468.561378501</v>
      </c>
      <c r="L9" s="11">
        <v>10188571.939999999</v>
      </c>
      <c r="M9" s="17">
        <v>64728040.501378499</v>
      </c>
      <c r="N9" s="7">
        <v>219.58382510936156</v>
      </c>
      <c r="O9" s="7">
        <v>217.24448462540693</v>
      </c>
      <c r="P9" s="7">
        <v>238.54605935624656</v>
      </c>
      <c r="Q9" s="14">
        <v>100.25058882154879</v>
      </c>
      <c r="R9" s="14">
        <v>133.49711758256899</v>
      </c>
      <c r="S9" s="9">
        <v>1011770</v>
      </c>
      <c r="T9" s="9">
        <v>911429.34065934061</v>
      </c>
      <c r="U9" s="9">
        <v>949057.08791208791</v>
      </c>
      <c r="V9" s="13">
        <v>2031902.142857143</v>
      </c>
      <c r="W9" s="8">
        <v>1071548</v>
      </c>
      <c r="X9" s="12">
        <v>221.67755319148944</v>
      </c>
      <c r="Y9" s="12">
        <v>225.78253800000002</v>
      </c>
      <c r="Z9" s="12">
        <v>221.4573028037382</v>
      </c>
      <c r="AA9" s="12">
        <v>93.631316382978781</v>
      </c>
      <c r="AB9" s="12">
        <v>116.82946869158877</v>
      </c>
      <c r="AC9" s="9">
        <v>2529706.5015432099</v>
      </c>
      <c r="AD9" s="9">
        <v>1822311.4382716049</v>
      </c>
      <c r="AE9" s="9">
        <v>2168319.1080246912</v>
      </c>
      <c r="AF9" s="9">
        <v>4851808.4012345681</v>
      </c>
      <c r="AG9" s="8">
        <v>2834940.5</v>
      </c>
      <c r="AH9" s="12">
        <v>207.50252760736188</v>
      </c>
      <c r="AI9" s="12">
        <v>220.71737068965533</v>
      </c>
      <c r="AJ9" s="12">
        <v>273.23504412811394</v>
      </c>
      <c r="AK9" s="12">
        <v>102.24148485804425</v>
      </c>
      <c r="AL9" s="12">
        <v>133.70584377224199</v>
      </c>
      <c r="AM9" s="9">
        <v>286961.47488584474</v>
      </c>
      <c r="AN9" s="9">
        <v>266549.10273972602</v>
      </c>
      <c r="AO9" s="9">
        <v>298967.43378995435</v>
      </c>
      <c r="AP9" s="9">
        <v>810456.03424657532</v>
      </c>
      <c r="AQ9" s="8">
        <v>345559.44</v>
      </c>
      <c r="AR9" s="12">
        <v>219.28932710084044</v>
      </c>
      <c r="AS9" s="12">
        <v>210.0417056306307</v>
      </c>
      <c r="AT9" s="12">
        <v>190.31166619718309</v>
      </c>
      <c r="AU9" s="12">
        <v>89.547044955489611</v>
      </c>
      <c r="AV9" s="12">
        <v>104.89555050301819</v>
      </c>
      <c r="AW9" s="9">
        <v>7717015.3676470593</v>
      </c>
      <c r="AX9" s="9">
        <v>5034722.4104278078</v>
      </c>
      <c r="AY9" s="9">
        <v>2473957.8449197863</v>
      </c>
      <c r="AZ9" s="9">
        <v>2699652.5213903743</v>
      </c>
      <c r="BA9" s="9">
        <v>7717015.3676470593</v>
      </c>
      <c r="BB9" s="11">
        <v>2725828.25</v>
      </c>
      <c r="BC9" s="10">
        <v>219.41948267581481</v>
      </c>
      <c r="BD9" s="10">
        <v>218.32317859649129</v>
      </c>
      <c r="BE9" s="10">
        <v>248.41262926045025</v>
      </c>
      <c r="BF9" s="10">
        <v>110.01929090909088</v>
      </c>
      <c r="BG9" s="10">
        <v>134.13372829581988</v>
      </c>
      <c r="BH9" s="9">
        <v>4677620.3563535912</v>
      </c>
      <c r="BI9" s="9">
        <v>2499002.1436464088</v>
      </c>
      <c r="BJ9" s="9">
        <v>3673747.0939226518</v>
      </c>
      <c r="BK9" s="9">
        <v>7824512.7569060773</v>
      </c>
      <c r="BL9" s="8">
        <v>3210695.75</v>
      </c>
      <c r="BM9" s="7">
        <v>225.38761448170749</v>
      </c>
      <c r="BN9" s="7">
        <v>215.78343333333328</v>
      </c>
      <c r="BO9" s="7">
        <v>266.67447145631053</v>
      </c>
      <c r="BP9" s="7">
        <v>107.23713464711287</v>
      </c>
      <c r="BQ9" s="7">
        <v>139.5395244660194</v>
      </c>
    </row>
    <row r="10" spans="1:69" x14ac:dyDescent="0.55000000000000004">
      <c r="A10" s="16" t="s">
        <v>90</v>
      </c>
      <c r="B10" s="27" t="s">
        <v>0</v>
      </c>
      <c r="C10" s="16">
        <v>35</v>
      </c>
      <c r="D10" s="16">
        <v>17</v>
      </c>
      <c r="E10" s="16" t="s">
        <v>70</v>
      </c>
      <c r="F10" s="15">
        <v>1152.73</v>
      </c>
      <c r="G10" s="4"/>
      <c r="H10" s="4"/>
      <c r="I10" s="4"/>
      <c r="J10" s="4"/>
      <c r="K10" s="4"/>
      <c r="L10" s="24">
        <v>12304252.34</v>
      </c>
      <c r="M10" s="23"/>
      <c r="N10" s="2"/>
      <c r="O10" s="2"/>
      <c r="P10" s="2"/>
      <c r="Q10" s="2"/>
      <c r="R10" s="22"/>
      <c r="S10" s="4"/>
      <c r="T10" s="4"/>
      <c r="U10" s="4"/>
      <c r="V10" s="4"/>
      <c r="W10" s="8">
        <v>1304907</v>
      </c>
      <c r="X10" s="3"/>
      <c r="Y10" s="3"/>
      <c r="Z10" s="3"/>
      <c r="AA10" s="3"/>
      <c r="AB10" s="3"/>
      <c r="AC10" s="4"/>
      <c r="AD10" s="4"/>
      <c r="AE10" s="4"/>
      <c r="AF10" s="4"/>
      <c r="AG10" s="8">
        <v>3164957.75</v>
      </c>
      <c r="AH10" s="3"/>
      <c r="AI10" s="3"/>
      <c r="AJ10" s="3"/>
      <c r="AK10" s="3"/>
      <c r="AL10" s="3"/>
      <c r="AM10" s="4"/>
      <c r="AN10" s="4"/>
      <c r="AO10" s="4"/>
      <c r="AP10" s="4"/>
      <c r="AQ10" s="8">
        <v>389000</v>
      </c>
      <c r="AR10" s="3"/>
      <c r="AS10" s="3"/>
      <c r="AT10" s="3"/>
      <c r="AU10" s="3"/>
      <c r="AV10" s="3"/>
      <c r="AW10" s="4"/>
      <c r="AX10" s="4"/>
      <c r="AY10" s="4"/>
      <c r="AZ10" s="4"/>
      <c r="BA10" s="4"/>
      <c r="BB10" s="8">
        <v>4396803.5</v>
      </c>
      <c r="BC10" s="3"/>
      <c r="BD10" s="3"/>
      <c r="BE10" s="3"/>
      <c r="BF10" s="3"/>
      <c r="BG10" s="3"/>
      <c r="BH10" s="4"/>
      <c r="BI10" s="4"/>
      <c r="BJ10" s="4"/>
      <c r="BK10" s="4"/>
      <c r="BL10" s="8">
        <v>3048220.25</v>
      </c>
      <c r="BM10" s="2"/>
      <c r="BN10" s="2"/>
      <c r="BO10" s="2"/>
      <c r="BP10" s="2"/>
      <c r="BQ10" s="2"/>
    </row>
    <row r="11" spans="1:69" x14ac:dyDescent="0.55000000000000004">
      <c r="A11" s="16"/>
      <c r="F11" s="1"/>
      <c r="G11" s="4"/>
      <c r="H11" s="4"/>
      <c r="I11" s="4"/>
      <c r="J11" s="4"/>
      <c r="K11" s="4"/>
      <c r="L11" s="21"/>
      <c r="M11" s="20"/>
      <c r="N11" s="2"/>
      <c r="O11" s="2"/>
      <c r="P11" s="2"/>
      <c r="Q11" s="2"/>
      <c r="R11" s="19"/>
      <c r="S11" s="4"/>
      <c r="T11" s="4"/>
      <c r="U11" s="4"/>
      <c r="V11" s="4"/>
      <c r="W11" s="6"/>
      <c r="X11" s="18"/>
      <c r="Y11" s="18"/>
      <c r="Z11" s="18"/>
      <c r="AA11" s="18"/>
      <c r="AB11" s="18"/>
      <c r="AC11" s="4"/>
      <c r="AD11" s="4"/>
      <c r="AE11" s="4"/>
      <c r="AF11" s="4"/>
      <c r="AG11" s="6"/>
      <c r="AH11" s="18"/>
      <c r="AI11" s="18"/>
      <c r="AJ11" s="18"/>
      <c r="AK11" s="18"/>
      <c r="AL11" s="18"/>
      <c r="AM11" s="4"/>
      <c r="AN11" s="4"/>
      <c r="AO11" s="4"/>
      <c r="AP11" s="4"/>
      <c r="AQ11" s="6"/>
      <c r="AR11" s="18"/>
      <c r="AS11" s="18"/>
      <c r="AT11" s="18"/>
      <c r="AU11" s="18"/>
      <c r="AV11" s="18"/>
      <c r="AW11" s="4"/>
      <c r="AX11" s="4"/>
      <c r="AY11" s="4"/>
      <c r="AZ11" s="4"/>
      <c r="BA11" s="4"/>
      <c r="BB11" s="6"/>
      <c r="BC11" s="18"/>
      <c r="BD11" s="18"/>
      <c r="BE11" s="18"/>
      <c r="BF11" s="18"/>
      <c r="BG11" s="18"/>
      <c r="BH11" s="4"/>
      <c r="BI11" s="4"/>
      <c r="BJ11" s="4"/>
      <c r="BK11" s="4"/>
      <c r="BL11" s="6"/>
      <c r="BM11" s="2"/>
      <c r="BN11" s="2"/>
      <c r="BO11" s="2"/>
      <c r="BP11" s="2"/>
      <c r="BQ11" s="2"/>
    </row>
    <row r="12" spans="1:69" x14ac:dyDescent="0.55000000000000004">
      <c r="A12" s="31" t="s">
        <v>71</v>
      </c>
      <c r="B12" s="27" t="s">
        <v>91</v>
      </c>
      <c r="C12" s="16">
        <v>11</v>
      </c>
      <c r="D12" s="16">
        <v>30</v>
      </c>
      <c r="E12" s="16" t="s">
        <v>70</v>
      </c>
      <c r="F12" s="15">
        <v>1201.2</v>
      </c>
      <c r="G12" s="9">
        <v>7203939</v>
      </c>
      <c r="H12" s="9">
        <v>7037139</v>
      </c>
      <c r="I12" s="9">
        <v>4667304</v>
      </c>
      <c r="J12" s="9">
        <v>19299977</v>
      </c>
      <c r="K12" s="9">
        <v>38208359</v>
      </c>
      <c r="L12" s="17">
        <v>10382735.889999999</v>
      </c>
      <c r="M12" s="17">
        <v>48591094.890000001</v>
      </c>
      <c r="N12" s="7">
        <v>226.39278278879794</v>
      </c>
      <c r="O12" s="7">
        <v>229.41070112960799</v>
      </c>
      <c r="P12" s="7">
        <v>322.97957100093583</v>
      </c>
      <c r="Q12" s="7">
        <v>109.49821064853586</v>
      </c>
      <c r="R12" s="14">
        <v>132.93464512241169</v>
      </c>
      <c r="S12" s="9">
        <v>854715</v>
      </c>
      <c r="T12" s="9">
        <v>848610</v>
      </c>
      <c r="U12" s="9">
        <v>631879</v>
      </c>
      <c r="V12" s="13">
        <v>2182578</v>
      </c>
      <c r="W12" s="8">
        <v>913299</v>
      </c>
      <c r="X12" s="12">
        <v>275.78394992125988</v>
      </c>
      <c r="Y12" s="12">
        <v>216.24645063291143</v>
      </c>
      <c r="Z12" s="12">
        <v>281.65195408695632</v>
      </c>
      <c r="AA12" s="12">
        <v>123.73809407474913</v>
      </c>
      <c r="AB12" s="12">
        <v>127.84323452173932</v>
      </c>
      <c r="AC12" s="9">
        <v>1458500</v>
      </c>
      <c r="AD12" s="9">
        <v>1669234</v>
      </c>
      <c r="AE12" s="9">
        <v>1197855</v>
      </c>
      <c r="AF12" s="9">
        <v>4303408</v>
      </c>
      <c r="AG12" s="8">
        <v>2943218.75</v>
      </c>
      <c r="AH12" s="12">
        <v>267.09867441860479</v>
      </c>
      <c r="AI12" s="12">
        <v>223.27157153284651</v>
      </c>
      <c r="AJ12" s="12">
        <v>286.87833102094248</v>
      </c>
      <c r="AK12" s="12">
        <v>122.83682873997159</v>
      </c>
      <c r="AL12" s="12">
        <v>124.5773540575918</v>
      </c>
      <c r="AM12" s="9">
        <v>170558</v>
      </c>
      <c r="AN12" s="9">
        <v>168222</v>
      </c>
      <c r="AO12" s="9">
        <v>75699</v>
      </c>
      <c r="AP12" s="9">
        <v>569618</v>
      </c>
      <c r="AQ12" s="8">
        <v>254529.64</v>
      </c>
      <c r="AR12" s="7">
        <v>257.35426292335165</v>
      </c>
      <c r="AS12" s="7">
        <v>237.7586358144552</v>
      </c>
      <c r="AT12" s="7">
        <v>221.02095284431113</v>
      </c>
      <c r="AU12" s="7">
        <v>113.6804945828392</v>
      </c>
      <c r="AV12" s="7">
        <v>115.95134131736533</v>
      </c>
      <c r="AW12" s="9">
        <v>7978682</v>
      </c>
      <c r="AX12" s="9">
        <v>2821960</v>
      </c>
      <c r="AY12" s="9">
        <v>2600506</v>
      </c>
      <c r="AZ12" s="9">
        <v>1259125</v>
      </c>
      <c r="BA12" s="9">
        <v>7978682</v>
      </c>
      <c r="BB12" s="11">
        <v>3462172</v>
      </c>
      <c r="BC12" s="12">
        <v>252.45386602076059</v>
      </c>
      <c r="BD12" s="12">
        <v>226.45592770522367</v>
      </c>
      <c r="BE12" s="12">
        <v>266.13681721938769</v>
      </c>
      <c r="BF12" s="12">
        <v>119.35476562606038</v>
      </c>
      <c r="BG12" s="12">
        <v>128.92654630102035</v>
      </c>
      <c r="BH12" s="9">
        <v>1898206</v>
      </c>
      <c r="BI12" s="9">
        <v>1750567</v>
      </c>
      <c r="BJ12" s="9">
        <v>1502746</v>
      </c>
      <c r="BK12" s="9">
        <v>4265691</v>
      </c>
      <c r="BL12" s="8">
        <v>2809516.5</v>
      </c>
      <c r="BM12" s="7">
        <v>277.40828130081326</v>
      </c>
      <c r="BN12" s="7">
        <v>238.62926860189575</v>
      </c>
      <c r="BO12" s="7">
        <v>319.47921385620907</v>
      </c>
      <c r="BP12" s="7">
        <v>125.92364552112673</v>
      </c>
      <c r="BQ12" s="7">
        <v>145.95101307189529</v>
      </c>
    </row>
    <row r="13" spans="1:69" x14ac:dyDescent="0.55000000000000004">
      <c r="A13" s="31" t="s">
        <v>73</v>
      </c>
      <c r="B13" s="27" t="s">
        <v>91</v>
      </c>
      <c r="C13" s="16">
        <v>14</v>
      </c>
      <c r="D13" s="16">
        <v>19</v>
      </c>
      <c r="E13" s="16" t="s">
        <v>70</v>
      </c>
      <c r="F13" s="15">
        <v>1511.86</v>
      </c>
      <c r="G13" s="9">
        <v>4892243.8413867224</v>
      </c>
      <c r="H13" s="9">
        <v>4119442.4912308687</v>
      </c>
      <c r="I13" s="9">
        <v>7058790.1532565132</v>
      </c>
      <c r="J13" s="9">
        <v>31602986.407322146</v>
      </c>
      <c r="K13" s="9">
        <v>47673462.893196248</v>
      </c>
      <c r="L13" s="17">
        <v>12898614.690000001</v>
      </c>
      <c r="M13" s="17">
        <v>60572077.583196253</v>
      </c>
      <c r="N13" s="7">
        <v>200.11092943327239</v>
      </c>
      <c r="O13" s="7">
        <v>261.79320563947613</v>
      </c>
      <c r="P13" s="7">
        <v>261.24234416767962</v>
      </c>
      <c r="Q13" s="7">
        <v>112.74427815651222</v>
      </c>
      <c r="R13" s="14">
        <v>175.52737064073156</v>
      </c>
      <c r="S13" s="9">
        <v>476051.04113924049</v>
      </c>
      <c r="T13" s="9">
        <v>495313.20886075951</v>
      </c>
      <c r="U13" s="9">
        <v>784246.86075949366</v>
      </c>
      <c r="V13" s="13">
        <v>2812284.4398734178</v>
      </c>
      <c r="W13" s="8">
        <v>1476608.6300000001</v>
      </c>
      <c r="X13" s="12">
        <v>200.57810804597688</v>
      </c>
      <c r="Y13" s="12">
        <v>276.31602722222237</v>
      </c>
      <c r="Z13" s="12">
        <v>273.33533789473699</v>
      </c>
      <c r="AA13" s="12">
        <v>117.4666289911851</v>
      </c>
      <c r="AB13" s="12">
        <v>179.87210280701734</v>
      </c>
      <c r="AC13" s="9">
        <v>902777.81818181823</v>
      </c>
      <c r="AD13" s="9">
        <v>969459.69090909092</v>
      </c>
      <c r="AE13" s="9">
        <v>1600379.3636363635</v>
      </c>
      <c r="AF13" s="9">
        <v>6699024.4363636365</v>
      </c>
      <c r="AG13" s="8">
        <v>3329878</v>
      </c>
      <c r="AH13" s="12">
        <v>212.75733898305097</v>
      </c>
      <c r="AI13" s="12">
        <v>263.53806210526301</v>
      </c>
      <c r="AJ13" s="12">
        <v>257.94076346153827</v>
      </c>
      <c r="AK13" s="12">
        <v>109.77270338461535</v>
      </c>
      <c r="AL13" s="12">
        <v>171.05095384615376</v>
      </c>
      <c r="AM13" s="9">
        <v>64390.345161290323</v>
      </c>
      <c r="AN13" s="9">
        <v>93923.322580645166</v>
      </c>
      <c r="AO13" s="9">
        <v>131685.86129032259</v>
      </c>
      <c r="AP13" s="9">
        <v>491403.63870967744</v>
      </c>
      <c r="AQ13" s="8">
        <v>317579.81</v>
      </c>
      <c r="AR13" s="12">
        <v>179.61541346153851</v>
      </c>
      <c r="AS13" s="12">
        <v>262.55300503144633</v>
      </c>
      <c r="AT13" s="12">
        <v>222.66846068376074</v>
      </c>
      <c r="AU13" s="12">
        <v>106.46776750861065</v>
      </c>
      <c r="AV13" s="12">
        <v>153.67603632478628</v>
      </c>
      <c r="AW13" s="9">
        <v>9420934.3850325383</v>
      </c>
      <c r="AX13" s="9">
        <v>1031654.2765726681</v>
      </c>
      <c r="AY13" s="9">
        <v>1213044.0618221259</v>
      </c>
      <c r="AZ13" s="9">
        <v>1870582.2874186551</v>
      </c>
      <c r="BA13" s="9">
        <v>9420934.3850325383</v>
      </c>
      <c r="BB13" s="11">
        <v>3638908.75</v>
      </c>
      <c r="BC13" s="10">
        <v>187.77665934065942</v>
      </c>
      <c r="BD13" s="10">
        <v>226.92404112149509</v>
      </c>
      <c r="BE13" s="10">
        <v>245.05712939393936</v>
      </c>
      <c r="BF13" s="10">
        <v>106.50373548773172</v>
      </c>
      <c r="BG13" s="10">
        <v>158.74529636363638</v>
      </c>
      <c r="BH13" s="9">
        <v>2010044.4120781526</v>
      </c>
      <c r="BI13" s="9">
        <v>1009695.9644760214</v>
      </c>
      <c r="BJ13" s="9">
        <v>2089510.6429840142</v>
      </c>
      <c r="BK13" s="9">
        <v>9517327.7726465371</v>
      </c>
      <c r="BL13" s="8">
        <v>4135639.5</v>
      </c>
      <c r="BM13" s="7">
        <v>204.29926401869162</v>
      </c>
      <c r="BN13" s="7">
        <v>285.32664722222216</v>
      </c>
      <c r="BO13" s="7">
        <v>292.99879621380853</v>
      </c>
      <c r="BP13" s="7">
        <v>120.73989365781721</v>
      </c>
      <c r="BQ13" s="7">
        <v>193.72607438752772</v>
      </c>
    </row>
    <row r="14" spans="1:69" x14ac:dyDescent="0.55000000000000004">
      <c r="A14" s="31" t="s">
        <v>74</v>
      </c>
      <c r="B14" s="27" t="s">
        <v>91</v>
      </c>
      <c r="C14" s="16">
        <v>17</v>
      </c>
      <c r="D14" s="16">
        <v>24</v>
      </c>
      <c r="E14" s="16" t="s">
        <v>70</v>
      </c>
      <c r="F14" s="15">
        <v>1421.1</v>
      </c>
      <c r="G14" s="9">
        <v>10394443</v>
      </c>
      <c r="H14" s="9">
        <v>5546794</v>
      </c>
      <c r="I14" s="9">
        <v>8914939</v>
      </c>
      <c r="J14" s="9">
        <v>22781424</v>
      </c>
      <c r="K14" s="9">
        <v>47637600</v>
      </c>
      <c r="L14" s="17">
        <v>12982000</v>
      </c>
      <c r="M14" s="17">
        <v>60619600</v>
      </c>
      <c r="N14" s="7">
        <v>238.24754643192512</v>
      </c>
      <c r="O14" s="7">
        <v>265.80934903280024</v>
      </c>
      <c r="P14" s="7">
        <v>203.00955478637096</v>
      </c>
      <c r="Q14" s="7">
        <v>124.90271754532158</v>
      </c>
      <c r="R14" s="14">
        <v>150.68621003652476</v>
      </c>
      <c r="S14" s="9">
        <v>918358</v>
      </c>
      <c r="T14" s="9">
        <v>535426</v>
      </c>
      <c r="U14" s="9">
        <v>830250</v>
      </c>
      <c r="V14" s="13">
        <v>1640168</v>
      </c>
      <c r="W14" s="8">
        <v>1106000</v>
      </c>
      <c r="X14" s="12">
        <v>244.78438376383764</v>
      </c>
      <c r="Y14" s="12">
        <v>255.11213797468363</v>
      </c>
      <c r="Z14" s="12">
        <v>190.02385183673471</v>
      </c>
      <c r="AA14" s="12">
        <v>126.64404398340244</v>
      </c>
      <c r="AB14" s="12">
        <v>138.84878857142851</v>
      </c>
      <c r="AC14" s="9">
        <v>2175209</v>
      </c>
      <c r="AD14" s="9">
        <v>1380891</v>
      </c>
      <c r="AE14" s="9">
        <v>2230200</v>
      </c>
      <c r="AF14" s="9">
        <v>5413583</v>
      </c>
      <c r="AG14" s="8">
        <v>2903000</v>
      </c>
      <c r="AH14" s="12">
        <v>238.35999718309847</v>
      </c>
      <c r="AI14" s="12">
        <v>294.21762123893808</v>
      </c>
      <c r="AJ14" s="12">
        <v>215.11362575342471</v>
      </c>
      <c r="AK14" s="12">
        <v>123.18969898305079</v>
      </c>
      <c r="AL14" s="12">
        <v>147.01029260273972</v>
      </c>
      <c r="AM14" s="9">
        <v>219835</v>
      </c>
      <c r="AN14" s="9">
        <v>146557</v>
      </c>
      <c r="AO14" s="9">
        <v>198817</v>
      </c>
      <c r="AP14" s="9">
        <v>616335</v>
      </c>
      <c r="AQ14" s="8">
        <v>548000</v>
      </c>
      <c r="AR14" s="12">
        <v>230.49147028423798</v>
      </c>
      <c r="AS14" s="12">
        <v>229.83845426356578</v>
      </c>
      <c r="AT14" s="12">
        <v>139.01627077363892</v>
      </c>
      <c r="AU14" s="12">
        <v>119.45516780442806</v>
      </c>
      <c r="AV14" s="12">
        <v>110.66410916905438</v>
      </c>
      <c r="AW14" s="9">
        <v>8703025</v>
      </c>
      <c r="AX14" s="9">
        <v>3561303</v>
      </c>
      <c r="AY14" s="9">
        <v>1823559</v>
      </c>
      <c r="AZ14" s="9">
        <v>2931997</v>
      </c>
      <c r="BA14" s="9">
        <v>8703025</v>
      </c>
      <c r="BB14" s="11">
        <v>4799000</v>
      </c>
      <c r="BC14" s="10">
        <v>229.63351503005984</v>
      </c>
      <c r="BD14" s="10">
        <v>300.13083843137269</v>
      </c>
      <c r="BE14" s="10">
        <v>214.14710536585366</v>
      </c>
      <c r="BF14" s="10">
        <v>125.7213989361703</v>
      </c>
      <c r="BG14" s="10">
        <v>154.20180512195131</v>
      </c>
      <c r="BH14" s="9">
        <v>3519738</v>
      </c>
      <c r="BI14" s="9">
        <v>1660361</v>
      </c>
      <c r="BJ14" s="9">
        <v>2723675</v>
      </c>
      <c r="BK14" s="9">
        <v>6408313</v>
      </c>
      <c r="BL14" s="8">
        <v>3624000</v>
      </c>
      <c r="BM14" s="7">
        <v>247.12877653721682</v>
      </c>
      <c r="BN14" s="7">
        <v>251.42031095890417</v>
      </c>
      <c r="BO14" s="7">
        <v>237.4486624999999</v>
      </c>
      <c r="BP14" s="7">
        <v>129.85957131438718</v>
      </c>
      <c r="BQ14" s="7">
        <v>156.44145250000003</v>
      </c>
    </row>
    <row r="15" spans="1:69" x14ac:dyDescent="0.55000000000000004">
      <c r="A15" s="31" t="s">
        <v>75</v>
      </c>
      <c r="B15" s="27" t="s">
        <v>91</v>
      </c>
      <c r="C15" s="16">
        <v>18</v>
      </c>
      <c r="D15" s="16">
        <v>20</v>
      </c>
      <c r="E15" s="16" t="s">
        <v>70</v>
      </c>
      <c r="F15" s="15">
        <v>1355.7</v>
      </c>
      <c r="G15" s="9">
        <v>10108295</v>
      </c>
      <c r="H15" s="9">
        <v>4639775</v>
      </c>
      <c r="I15" s="9">
        <v>7587575</v>
      </c>
      <c r="J15" s="9">
        <v>30776045</v>
      </c>
      <c r="K15" s="9">
        <v>53111690</v>
      </c>
      <c r="L15" s="17">
        <v>11718000</v>
      </c>
      <c r="M15" s="17">
        <v>64829690</v>
      </c>
      <c r="N15" s="7">
        <v>254.92700771055723</v>
      </c>
      <c r="O15" s="7">
        <v>252.4809194475138</v>
      </c>
      <c r="P15" s="7">
        <v>253.32929309559955</v>
      </c>
      <c r="Q15" s="7">
        <v>124.08824917944106</v>
      </c>
      <c r="R15" s="14">
        <v>141.33792610339418</v>
      </c>
      <c r="S15" s="9">
        <v>1047230</v>
      </c>
      <c r="T15" s="9">
        <v>700692</v>
      </c>
      <c r="U15" s="9">
        <v>887289</v>
      </c>
      <c r="V15" s="13">
        <v>3575815</v>
      </c>
      <c r="W15" s="8">
        <v>1507000</v>
      </c>
      <c r="X15" s="12">
        <v>251.65925362318819</v>
      </c>
      <c r="Y15" s="12">
        <v>251.24603967391297</v>
      </c>
      <c r="Z15" s="12">
        <v>259.86220129310323</v>
      </c>
      <c r="AA15" s="12">
        <v>126.17709008528783</v>
      </c>
      <c r="AB15" s="12">
        <v>145.96370474137925</v>
      </c>
      <c r="AC15" s="9">
        <v>2502974</v>
      </c>
      <c r="AD15" s="9">
        <v>1166578</v>
      </c>
      <c r="AE15" s="9">
        <v>2037819</v>
      </c>
      <c r="AF15" s="9">
        <v>8033145</v>
      </c>
      <c r="AG15" s="8">
        <v>3370000</v>
      </c>
      <c r="AH15" s="12">
        <v>255.97102366863894</v>
      </c>
      <c r="AI15" s="12">
        <v>267.49143184713358</v>
      </c>
      <c r="AJ15" s="12">
        <v>270.54510685920565</v>
      </c>
      <c r="AK15" s="12">
        <v>123.33520705774525</v>
      </c>
      <c r="AL15" s="12">
        <v>140.48968628158849</v>
      </c>
      <c r="AM15" s="9">
        <v>101317</v>
      </c>
      <c r="AN15" s="9">
        <v>98815</v>
      </c>
      <c r="AO15" s="9">
        <v>90685</v>
      </c>
      <c r="AP15" s="9">
        <v>489075</v>
      </c>
      <c r="AQ15" s="8">
        <v>360000</v>
      </c>
      <c r="AR15" s="12">
        <v>230.21858854166655</v>
      </c>
      <c r="AS15" s="12">
        <v>219.82540198019805</v>
      </c>
      <c r="AT15" s="12">
        <v>175.12955803108804</v>
      </c>
      <c r="AU15" s="12">
        <v>114.31130825780448</v>
      </c>
      <c r="AV15" s="12">
        <v>122.65848134715026</v>
      </c>
      <c r="AW15" s="9">
        <v>10352422</v>
      </c>
      <c r="AX15" s="9">
        <v>3369181</v>
      </c>
      <c r="AY15" s="9">
        <v>1486155</v>
      </c>
      <c r="AZ15" s="9">
        <v>2575439</v>
      </c>
      <c r="BA15" s="9">
        <v>10352422</v>
      </c>
      <c r="BB15" s="11">
        <v>3837000</v>
      </c>
      <c r="BC15" s="10">
        <v>261.77748999999989</v>
      </c>
      <c r="BD15" s="10">
        <v>243.35963333333336</v>
      </c>
      <c r="BE15" s="10">
        <v>247.85063475409825</v>
      </c>
      <c r="BF15" s="10">
        <v>127.33794135399671</v>
      </c>
      <c r="BG15" s="10">
        <v>139.33574032786876</v>
      </c>
      <c r="BH15" s="9">
        <v>3087593</v>
      </c>
      <c r="BI15" s="9">
        <v>1187535</v>
      </c>
      <c r="BJ15" s="9">
        <v>1996343</v>
      </c>
      <c r="BK15" s="9">
        <v>8325588</v>
      </c>
      <c r="BL15" s="8">
        <v>2543000</v>
      </c>
      <c r="BM15" s="7">
        <v>260.24543750000009</v>
      </c>
      <c r="BN15" s="7">
        <v>285.35362000000021</v>
      </c>
      <c r="BO15" s="7">
        <v>287.02422733118976</v>
      </c>
      <c r="BP15" s="7">
        <v>127.62457602158823</v>
      </c>
      <c r="BQ15" s="7">
        <v>143.57932926045015</v>
      </c>
    </row>
    <row r="16" spans="1:69" x14ac:dyDescent="0.55000000000000004">
      <c r="A16" s="31" t="s">
        <v>76</v>
      </c>
      <c r="B16" s="27" t="s">
        <v>91</v>
      </c>
      <c r="C16" s="16">
        <v>24</v>
      </c>
      <c r="D16" s="16">
        <v>19</v>
      </c>
      <c r="E16" s="16" t="s">
        <v>70</v>
      </c>
      <c r="F16" s="15">
        <v>1342.8240000000001</v>
      </c>
      <c r="G16" s="9">
        <v>7361922.3685211698</v>
      </c>
      <c r="H16" s="9">
        <v>4802613.5104241911</v>
      </c>
      <c r="I16" s="9">
        <v>6673196.6601340519</v>
      </c>
      <c r="J16" s="9">
        <v>24286865.259614207</v>
      </c>
      <c r="K16" s="9">
        <v>43124597.79869362</v>
      </c>
      <c r="L16" s="17">
        <v>11706034.629999999</v>
      </c>
      <c r="M16" s="17">
        <v>54830632.428693622</v>
      </c>
      <c r="N16" s="7">
        <v>238.38217501754377</v>
      </c>
      <c r="O16" s="7">
        <v>266.04514800409436</v>
      </c>
      <c r="P16" s="7">
        <v>269.66925101733244</v>
      </c>
      <c r="Q16" s="7">
        <v>123.21680274566486</v>
      </c>
      <c r="R16" s="14">
        <v>165.93301722966976</v>
      </c>
      <c r="S16" s="9">
        <v>778985.77931034483</v>
      </c>
      <c r="T16" s="9">
        <v>590520.96551724139</v>
      </c>
      <c r="U16" s="9">
        <v>678471.74137931038</v>
      </c>
      <c r="V16" s="13">
        <v>2148493.6586206895</v>
      </c>
      <c r="W16" s="8">
        <v>1275736.5</v>
      </c>
      <c r="X16" s="12">
        <v>242.73474193548387</v>
      </c>
      <c r="Y16" s="12">
        <v>270.35355957446802</v>
      </c>
      <c r="Z16" s="12">
        <v>262.17566513761483</v>
      </c>
      <c r="AA16" s="12">
        <v>125.35326110304783</v>
      </c>
      <c r="AB16" s="12">
        <v>166.10763440366972</v>
      </c>
      <c r="AC16" s="9">
        <v>1805363.3553719008</v>
      </c>
      <c r="AD16" s="9">
        <v>949271.17355371895</v>
      </c>
      <c r="AE16" s="9">
        <v>1490880.2975206613</v>
      </c>
      <c r="AF16" s="9">
        <v>5625747.7851239666</v>
      </c>
      <c r="AG16" s="8">
        <v>3301522</v>
      </c>
      <c r="AH16" s="12">
        <v>236.66357556270083</v>
      </c>
      <c r="AI16" s="12">
        <v>249.64663435582824</v>
      </c>
      <c r="AJ16" s="12">
        <v>289.90320117187497</v>
      </c>
      <c r="AK16" s="12">
        <v>127.24041360824752</v>
      </c>
      <c r="AL16" s="12">
        <v>172.167581640625</v>
      </c>
      <c r="AM16" s="9">
        <v>74612.294339622647</v>
      </c>
      <c r="AN16" s="9">
        <v>84273.78113207547</v>
      </c>
      <c r="AO16" s="9">
        <v>89641.407547169816</v>
      </c>
      <c r="AP16" s="9">
        <v>419224.98490566039</v>
      </c>
      <c r="AQ16" s="8">
        <v>380416.63</v>
      </c>
      <c r="AR16" s="12">
        <v>225.34956525423732</v>
      </c>
      <c r="AS16" s="12">
        <v>263.4140984042553</v>
      </c>
      <c r="AT16" s="12">
        <v>195.13616269841265</v>
      </c>
      <c r="AU16" s="12">
        <v>116.39764262295081</v>
      </c>
      <c r="AV16" s="12">
        <v>145.75651230158732</v>
      </c>
      <c r="AW16" s="9">
        <v>9590016.4603960402</v>
      </c>
      <c r="AX16" s="9">
        <v>2374999.5222772276</v>
      </c>
      <c r="AY16" s="9">
        <v>1613338.021039604</v>
      </c>
      <c r="AZ16" s="9">
        <v>2111880.074257426</v>
      </c>
      <c r="BA16" s="9">
        <v>9590016.4603960402</v>
      </c>
      <c r="BB16" s="11">
        <v>3870771.25</v>
      </c>
      <c r="BC16" s="10">
        <v>229.22911627906987</v>
      </c>
      <c r="BD16" s="10">
        <v>230.46189828326189</v>
      </c>
      <c r="BE16" s="10">
        <v>262.68458491803284</v>
      </c>
      <c r="BF16" s="10">
        <v>121.98263220216582</v>
      </c>
      <c r="BG16" s="10">
        <v>151.20581999999999</v>
      </c>
      <c r="BH16" s="9">
        <v>1786352.2932551319</v>
      </c>
      <c r="BI16" s="9">
        <v>1280427.9824046921</v>
      </c>
      <c r="BJ16" s="9">
        <v>1855058.3460410556</v>
      </c>
      <c r="BK16" s="9">
        <v>4815658.3870967738</v>
      </c>
      <c r="BL16" s="8">
        <v>2877588.25</v>
      </c>
      <c r="BM16" s="7">
        <v>258.24020279720281</v>
      </c>
      <c r="BN16" s="7">
        <v>317.98910341463426</v>
      </c>
      <c r="BO16" s="7">
        <v>328.33942635135134</v>
      </c>
      <c r="BP16" s="7">
        <v>127.68059423328953</v>
      </c>
      <c r="BQ16" s="7">
        <v>178.59960675675686</v>
      </c>
    </row>
    <row r="17" spans="1:69" x14ac:dyDescent="0.55000000000000004">
      <c r="A17" s="31" t="s">
        <v>77</v>
      </c>
      <c r="B17" s="27" t="s">
        <v>91</v>
      </c>
      <c r="C17" s="16">
        <v>25</v>
      </c>
      <c r="D17" s="16">
        <v>20</v>
      </c>
      <c r="E17" s="16" t="s">
        <v>70</v>
      </c>
      <c r="F17" s="15">
        <v>1286.768</v>
      </c>
      <c r="G17" s="9">
        <v>10142011</v>
      </c>
      <c r="H17" s="9">
        <v>4492227</v>
      </c>
      <c r="I17" s="9">
        <v>7026501</v>
      </c>
      <c r="J17" s="9">
        <v>29839173</v>
      </c>
      <c r="K17" s="9">
        <v>51499912</v>
      </c>
      <c r="L17" s="17">
        <v>11690000</v>
      </c>
      <c r="M17" s="17">
        <v>63189912</v>
      </c>
      <c r="N17" s="7">
        <v>248.66981745042469</v>
      </c>
      <c r="O17" s="7">
        <v>255.29175371250011</v>
      </c>
      <c r="P17" s="7">
        <v>341.18084177438334</v>
      </c>
      <c r="Q17" s="7">
        <v>125.85547949326997</v>
      </c>
      <c r="R17" s="14">
        <v>194.00541821707893</v>
      </c>
      <c r="S17" s="9">
        <v>977716</v>
      </c>
      <c r="T17" s="9">
        <v>484947</v>
      </c>
      <c r="U17" s="9">
        <v>602273</v>
      </c>
      <c r="V17" s="13">
        <v>2123600</v>
      </c>
      <c r="W17" s="8">
        <v>1233000</v>
      </c>
      <c r="X17" s="12">
        <v>247.65877200000006</v>
      </c>
      <c r="Y17" s="12">
        <v>216.88223279999994</v>
      </c>
      <c r="Z17" s="12">
        <v>318.07798451612894</v>
      </c>
      <c r="AA17" s="12">
        <v>128.30006478102189</v>
      </c>
      <c r="AB17" s="12">
        <v>189.0326716129033</v>
      </c>
      <c r="AC17" s="9">
        <v>2552709</v>
      </c>
      <c r="AD17" s="9">
        <v>985629</v>
      </c>
      <c r="AE17" s="9">
        <v>1822351</v>
      </c>
      <c r="AF17" s="9">
        <v>8126126</v>
      </c>
      <c r="AG17" s="8">
        <v>3068000</v>
      </c>
      <c r="AH17" s="12">
        <v>252.69094166666684</v>
      </c>
      <c r="AI17" s="12">
        <v>250.34290000000004</v>
      </c>
      <c r="AJ17" s="12">
        <v>324.055404296875</v>
      </c>
      <c r="AK17" s="12">
        <v>125.88547432314394</v>
      </c>
      <c r="AL17" s="12">
        <v>195.5581847656249</v>
      </c>
      <c r="AM17" s="9">
        <v>169954</v>
      </c>
      <c r="AN17" s="9">
        <v>83465</v>
      </c>
      <c r="AO17" s="9">
        <v>186284</v>
      </c>
      <c r="AP17" s="9">
        <v>499582</v>
      </c>
      <c r="AQ17" s="8">
        <v>286000</v>
      </c>
      <c r="AR17" s="12">
        <v>241.47260567375875</v>
      </c>
      <c r="AS17" s="12">
        <v>228.2764423703704</v>
      </c>
      <c r="AT17" s="12">
        <v>268.62002214983698</v>
      </c>
      <c r="AU17" s="12">
        <v>111.81011678921556</v>
      </c>
      <c r="AV17" s="12">
        <v>163.83168697068399</v>
      </c>
      <c r="AW17" s="9">
        <v>10937675</v>
      </c>
      <c r="AX17" s="9">
        <v>3176846</v>
      </c>
      <c r="AY17" s="9">
        <v>1458932</v>
      </c>
      <c r="AZ17" s="9">
        <v>1743812</v>
      </c>
      <c r="BA17" s="9">
        <v>10937675</v>
      </c>
      <c r="BB17" s="11">
        <v>3912000</v>
      </c>
      <c r="BC17" s="10">
        <v>241.64605347593584</v>
      </c>
      <c r="BD17" s="10">
        <v>248.51332558139543</v>
      </c>
      <c r="BE17" s="10">
        <v>301.18285365853654</v>
      </c>
      <c r="BF17" s="10">
        <v>123.31214903025597</v>
      </c>
      <c r="BG17" s="10">
        <v>177.85071268292688</v>
      </c>
      <c r="BH17" s="9">
        <v>3264786</v>
      </c>
      <c r="BI17" s="9">
        <v>1479254</v>
      </c>
      <c r="BJ17" s="9">
        <v>2671781</v>
      </c>
      <c r="BK17" s="9">
        <v>8152190</v>
      </c>
      <c r="BL17" s="8">
        <v>3191000</v>
      </c>
      <c r="BM17" s="7">
        <v>255.60700801603198</v>
      </c>
      <c r="BN17" s="7">
        <v>300.27881681222703</v>
      </c>
      <c r="BO17" s="7">
        <v>364.27981170731726</v>
      </c>
      <c r="BP17" s="7">
        <v>136.57430454908223</v>
      </c>
      <c r="BQ17" s="7">
        <v>206.71488731707313</v>
      </c>
    </row>
    <row r="18" spans="1:69" x14ac:dyDescent="0.55000000000000004">
      <c r="A18" s="31" t="s">
        <v>78</v>
      </c>
      <c r="B18" s="27" t="s">
        <v>91</v>
      </c>
      <c r="C18" s="16">
        <v>27</v>
      </c>
      <c r="D18" s="16">
        <v>21</v>
      </c>
      <c r="E18" s="16" t="s">
        <v>70</v>
      </c>
      <c r="F18" s="15">
        <v>1446.98</v>
      </c>
      <c r="G18" s="9">
        <v>10629228</v>
      </c>
      <c r="H18" s="9">
        <v>5059646</v>
      </c>
      <c r="I18" s="9">
        <v>9630459.5</v>
      </c>
      <c r="J18" s="9">
        <v>33036595</v>
      </c>
      <c r="K18" s="9">
        <v>58355928.5</v>
      </c>
      <c r="L18" s="17">
        <v>14467533.039999999</v>
      </c>
      <c r="M18" s="17">
        <v>72823461.539999992</v>
      </c>
      <c r="N18" s="7">
        <v>237.30883257745825</v>
      </c>
      <c r="O18" s="7">
        <v>268.68095911495868</v>
      </c>
      <c r="P18" s="7">
        <v>297.83943735360066</v>
      </c>
      <c r="Q18" s="7">
        <v>125.88855989053933</v>
      </c>
      <c r="R18" s="14">
        <v>149.23914173549079</v>
      </c>
      <c r="S18" s="9">
        <v>1180037.5</v>
      </c>
      <c r="T18" s="9">
        <v>487645.5</v>
      </c>
      <c r="U18" s="9">
        <v>1103674</v>
      </c>
      <c r="V18" s="13">
        <v>2917133.5</v>
      </c>
      <c r="W18" s="8">
        <v>1506173.88</v>
      </c>
      <c r="X18" s="12">
        <v>247.09731343283585</v>
      </c>
      <c r="Y18" s="12">
        <v>274.70968405172408</v>
      </c>
      <c r="Z18" s="12">
        <v>329.57949030612247</v>
      </c>
      <c r="AA18" s="12">
        <v>139.21069335083126</v>
      </c>
      <c r="AB18" s="12">
        <v>158.52110408163264</v>
      </c>
      <c r="AC18" s="9">
        <v>2565518.5</v>
      </c>
      <c r="AD18" s="9">
        <v>1434648</v>
      </c>
      <c r="AE18" s="9">
        <v>2632161.5</v>
      </c>
      <c r="AF18" s="9">
        <v>9157946.5</v>
      </c>
      <c r="AG18" s="8">
        <v>4329415.5</v>
      </c>
      <c r="AH18" s="12">
        <v>250.73671535626528</v>
      </c>
      <c r="AI18" s="12">
        <v>258.07627709251102</v>
      </c>
      <c r="AJ18" s="12">
        <v>297.60209939759034</v>
      </c>
      <c r="AK18" s="12">
        <v>120.70795476519378</v>
      </c>
      <c r="AL18" s="12">
        <v>147.7803983132531</v>
      </c>
      <c r="AM18" s="9">
        <v>270671.5</v>
      </c>
      <c r="AN18" s="9">
        <v>127737.5</v>
      </c>
      <c r="AO18" s="9">
        <v>245469</v>
      </c>
      <c r="AP18" s="9">
        <v>654993.5</v>
      </c>
      <c r="AQ18" s="8">
        <v>359245.91</v>
      </c>
      <c r="AR18" s="12">
        <v>228.95755366631244</v>
      </c>
      <c r="AS18" s="12">
        <v>283.14975959821436</v>
      </c>
      <c r="AT18" s="12">
        <v>263.72697025761147</v>
      </c>
      <c r="AU18" s="12">
        <v>132.01217942332903</v>
      </c>
      <c r="AV18" s="12">
        <v>147.8412970725995</v>
      </c>
      <c r="AW18" s="9">
        <v>13128166</v>
      </c>
      <c r="AX18" s="9">
        <v>2917608</v>
      </c>
      <c r="AY18" s="9">
        <v>1640602.5</v>
      </c>
      <c r="AZ18" s="9">
        <v>3037336.5</v>
      </c>
      <c r="BA18" s="9">
        <v>13128166</v>
      </c>
      <c r="BB18" s="11">
        <v>4333332.5</v>
      </c>
      <c r="BC18" s="10">
        <v>228.43821192893373</v>
      </c>
      <c r="BD18" s="10">
        <v>253.63554650112849</v>
      </c>
      <c r="BE18" s="10">
        <v>303.01245929526141</v>
      </c>
      <c r="BF18" s="10">
        <v>118.88260171976331</v>
      </c>
      <c r="BG18" s="10">
        <v>148.99320947752133</v>
      </c>
      <c r="BH18" s="9">
        <v>3695392.5</v>
      </c>
      <c r="BI18" s="9">
        <v>1369012.5</v>
      </c>
      <c r="BJ18" s="9">
        <v>2611818.5</v>
      </c>
      <c r="BK18" s="9">
        <v>7178355.5</v>
      </c>
      <c r="BL18" s="8">
        <v>3939365.25</v>
      </c>
      <c r="BM18" s="7">
        <v>241.54320559210547</v>
      </c>
      <c r="BN18" s="7">
        <v>269.32875026455048</v>
      </c>
      <c r="BO18" s="7">
        <v>329.02220259740284</v>
      </c>
      <c r="BP18" s="7">
        <v>129.97430270551507</v>
      </c>
      <c r="BQ18" s="7">
        <v>147.20435038961037</v>
      </c>
    </row>
    <row r="19" spans="1:69" x14ac:dyDescent="0.55000000000000004">
      <c r="A19" s="31" t="s">
        <v>79</v>
      </c>
      <c r="B19" s="27" t="s">
        <v>91</v>
      </c>
      <c r="C19" s="16">
        <v>27</v>
      </c>
      <c r="D19" s="16">
        <v>21</v>
      </c>
      <c r="E19" s="16" t="s">
        <v>69</v>
      </c>
      <c r="F19" s="15">
        <v>1588.2</v>
      </c>
      <c r="G19" s="9">
        <v>8909159</v>
      </c>
      <c r="H19" s="9">
        <v>3765786</v>
      </c>
      <c r="I19" s="9">
        <v>7443668</v>
      </c>
      <c r="J19" s="9">
        <v>31456375</v>
      </c>
      <c r="K19" s="9">
        <v>51574988</v>
      </c>
      <c r="L19" s="17">
        <v>13705000</v>
      </c>
      <c r="M19" s="17">
        <v>65279988</v>
      </c>
      <c r="N19" s="7">
        <v>179.43795722032536</v>
      </c>
      <c r="O19" s="7">
        <v>181.45322550826234</v>
      </c>
      <c r="P19" s="7">
        <v>210.37989864231037</v>
      </c>
      <c r="Q19" s="7">
        <v>74.154271109861156</v>
      </c>
      <c r="R19" s="14">
        <v>99.585187167771281</v>
      </c>
      <c r="S19" s="9">
        <v>1027537.3333333334</v>
      </c>
      <c r="T19" s="9">
        <v>359005.66666666669</v>
      </c>
      <c r="U19" s="9">
        <v>824359</v>
      </c>
      <c r="V19" s="13">
        <v>2964564.6666666665</v>
      </c>
      <c r="W19" s="8">
        <v>1414000</v>
      </c>
      <c r="X19" s="12">
        <v>175.45898976572147</v>
      </c>
      <c r="Y19" s="12">
        <v>171.46422068965526</v>
      </c>
      <c r="Z19" s="12">
        <v>213.02316978527608</v>
      </c>
      <c r="AA19" s="12">
        <v>74.947288495952279</v>
      </c>
      <c r="AB19" s="12">
        <v>99.238034815950925</v>
      </c>
      <c r="AC19" s="9">
        <v>1874805</v>
      </c>
      <c r="AD19" s="9">
        <v>1032797</v>
      </c>
      <c r="AE19" s="9">
        <v>1830877</v>
      </c>
      <c r="AF19" s="9">
        <v>8106770.333333333</v>
      </c>
      <c r="AG19" s="8">
        <v>3707000</v>
      </c>
      <c r="AH19" s="12">
        <v>172.98730416156639</v>
      </c>
      <c r="AI19" s="12">
        <v>170.79766328828848</v>
      </c>
      <c r="AJ19" s="12">
        <v>232.65531989860602</v>
      </c>
      <c r="AK19" s="12">
        <v>70.682480221969143</v>
      </c>
      <c r="AL19" s="12">
        <v>103.66048529784527</v>
      </c>
      <c r="AM19" s="9">
        <v>229288.33333333334</v>
      </c>
      <c r="AN19" s="9">
        <v>85748.333333333328</v>
      </c>
      <c r="AO19" s="9">
        <v>176674.66666666666</v>
      </c>
      <c r="AP19" s="9">
        <v>568247</v>
      </c>
      <c r="AQ19" s="8">
        <v>351000</v>
      </c>
      <c r="AR19" s="12">
        <v>189.18191818181836</v>
      </c>
      <c r="AS19" s="12">
        <v>191.43412022598832</v>
      </c>
      <c r="AT19" s="12">
        <v>176.18228773062756</v>
      </c>
      <c r="AU19" s="12">
        <v>77.523306948813158</v>
      </c>
      <c r="AV19" s="12">
        <v>93.558104889298917</v>
      </c>
      <c r="AW19" s="9">
        <v>11143520</v>
      </c>
      <c r="AX19" s="9">
        <v>2564687.3333333335</v>
      </c>
      <c r="AY19" s="9">
        <v>1244457.6666666667</v>
      </c>
      <c r="AZ19" s="9">
        <v>2333102.3333333335</v>
      </c>
      <c r="BA19" s="9">
        <v>11143520</v>
      </c>
      <c r="BB19" s="11">
        <v>4430000</v>
      </c>
      <c r="BC19" s="10">
        <v>167.3186701176472</v>
      </c>
      <c r="BD19" s="10">
        <v>192.08159692307692</v>
      </c>
      <c r="BE19" s="10">
        <v>200.82260417754563</v>
      </c>
      <c r="BF19" s="10">
        <v>69.423012824765081</v>
      </c>
      <c r="BG19" s="10">
        <v>93.57175887728441</v>
      </c>
      <c r="BH19" s="9">
        <v>3212841</v>
      </c>
      <c r="BI19" s="9">
        <v>1043777.3333333334</v>
      </c>
      <c r="BJ19" s="9">
        <v>2278655</v>
      </c>
      <c r="BK19" s="9">
        <v>8673273</v>
      </c>
      <c r="BL19" s="8">
        <v>3802000</v>
      </c>
      <c r="BM19" s="7">
        <v>183.49486350746275</v>
      </c>
      <c r="BN19" s="7">
        <v>176.45479452054781</v>
      </c>
      <c r="BO19" s="7">
        <v>226.57151210526314</v>
      </c>
      <c r="BP19" s="7">
        <v>78.311737824406379</v>
      </c>
      <c r="BQ19" s="7">
        <v>103.06073957894725</v>
      </c>
    </row>
    <row r="20" spans="1:69" x14ac:dyDescent="0.55000000000000004">
      <c r="A20" s="31" t="s">
        <v>80</v>
      </c>
      <c r="B20" s="27" t="s">
        <v>91</v>
      </c>
      <c r="C20" s="16">
        <v>32</v>
      </c>
      <c r="D20" s="16">
        <v>17</v>
      </c>
      <c r="E20" s="16" t="s">
        <v>70</v>
      </c>
      <c r="F20" s="15">
        <v>1299.7</v>
      </c>
      <c r="G20" s="9">
        <v>11170943</v>
      </c>
      <c r="H20" s="9">
        <v>4785336</v>
      </c>
      <c r="I20" s="9">
        <v>7362040</v>
      </c>
      <c r="J20" s="9">
        <v>25462149</v>
      </c>
      <c r="K20" s="9">
        <v>48780468</v>
      </c>
      <c r="L20" s="17">
        <v>11821000</v>
      </c>
      <c r="M20" s="17">
        <v>60601468</v>
      </c>
      <c r="N20" s="7">
        <v>241.73048078052864</v>
      </c>
      <c r="O20" s="7">
        <v>299.99597902764521</v>
      </c>
      <c r="P20" s="7">
        <v>281.78700401678668</v>
      </c>
      <c r="Q20" s="7">
        <v>120.14902038642104</v>
      </c>
      <c r="R20" s="14">
        <v>170.36111688943541</v>
      </c>
      <c r="S20" s="9">
        <v>1015943</v>
      </c>
      <c r="T20" s="9">
        <v>522578</v>
      </c>
      <c r="U20" s="9">
        <v>775752</v>
      </c>
      <c r="V20" s="13">
        <v>2353224</v>
      </c>
      <c r="W20" s="8">
        <v>1234000</v>
      </c>
      <c r="X20" s="12">
        <v>245.99078662420388</v>
      </c>
      <c r="Y20" s="12">
        <v>295.06997924528309</v>
      </c>
      <c r="Z20" s="12">
        <v>285.03842616033745</v>
      </c>
      <c r="AA20" s="12">
        <v>117.63387727272736</v>
      </c>
      <c r="AB20" s="12">
        <v>162.7014573839663</v>
      </c>
      <c r="AC20" s="9">
        <v>2619027</v>
      </c>
      <c r="AD20" s="9">
        <v>1082923</v>
      </c>
      <c r="AE20" s="9">
        <v>1824491</v>
      </c>
      <c r="AF20" s="9">
        <v>5773632</v>
      </c>
      <c r="AG20" s="8">
        <v>3034000</v>
      </c>
      <c r="AH20" s="12">
        <v>242.57595730337081</v>
      </c>
      <c r="AI20" s="12">
        <v>300.27227634408592</v>
      </c>
      <c r="AJ20" s="12">
        <v>301.14111800643104</v>
      </c>
      <c r="AK20" s="12">
        <v>122.90111971399372</v>
      </c>
      <c r="AL20" s="12">
        <v>175.00561832797428</v>
      </c>
      <c r="AM20" s="9">
        <v>202934</v>
      </c>
      <c r="AN20" s="9">
        <v>103592</v>
      </c>
      <c r="AO20" s="9">
        <v>175310</v>
      </c>
      <c r="AP20" s="9">
        <v>525930</v>
      </c>
      <c r="AQ20" s="8">
        <v>346000</v>
      </c>
      <c r="AR20" s="12">
        <v>245.48352073490827</v>
      </c>
      <c r="AS20" s="12">
        <v>314.83775255102023</v>
      </c>
      <c r="AT20" s="12">
        <v>216.7153818731118</v>
      </c>
      <c r="AU20" s="12">
        <v>116.32757373737388</v>
      </c>
      <c r="AV20" s="12">
        <v>147.76776797583068</v>
      </c>
      <c r="AW20" s="9">
        <v>8993156</v>
      </c>
      <c r="AX20" s="9">
        <v>3778146</v>
      </c>
      <c r="AY20" s="9">
        <v>1560856</v>
      </c>
      <c r="AZ20" s="9">
        <v>2005772</v>
      </c>
      <c r="BA20" s="9">
        <v>8993156</v>
      </c>
      <c r="BB20" s="11">
        <v>3855000</v>
      </c>
      <c r="BC20" s="10">
        <v>232.59571842610367</v>
      </c>
      <c r="BD20" s="10">
        <v>287.97154579439245</v>
      </c>
      <c r="BE20" s="10">
        <v>278.3471909747293</v>
      </c>
      <c r="BF20" s="10">
        <v>120.85940775444281</v>
      </c>
      <c r="BG20" s="10">
        <v>158.30061046931388</v>
      </c>
      <c r="BH20" s="9">
        <v>3554893</v>
      </c>
      <c r="BI20" s="9">
        <v>1515387</v>
      </c>
      <c r="BJ20" s="9">
        <v>2580715</v>
      </c>
      <c r="BK20" s="9">
        <v>7816207</v>
      </c>
      <c r="BL20" s="8">
        <v>3353000</v>
      </c>
      <c r="BM20" s="7">
        <v>245.6279951845907</v>
      </c>
      <c r="BN20" s="7">
        <v>300.12494867924551</v>
      </c>
      <c r="BO20" s="7">
        <v>314.43154159292021</v>
      </c>
      <c r="BP20" s="7">
        <v>120.67265262773739</v>
      </c>
      <c r="BQ20" s="7">
        <v>180.28844756637162</v>
      </c>
    </row>
    <row r="21" spans="1:69" ht="15" customHeight="1" x14ac:dyDescent="0.55000000000000004">
      <c r="A21" s="31" t="s">
        <v>81</v>
      </c>
      <c r="B21" s="27" t="s">
        <v>91</v>
      </c>
      <c r="C21" s="16">
        <v>44</v>
      </c>
      <c r="D21" s="16">
        <v>26</v>
      </c>
      <c r="E21" s="16" t="s">
        <v>70</v>
      </c>
      <c r="F21" s="15">
        <v>1342.9</v>
      </c>
      <c r="G21" s="9">
        <v>9193408</v>
      </c>
      <c r="H21" s="9">
        <v>5691440</v>
      </c>
      <c r="I21" s="9">
        <v>8263622</v>
      </c>
      <c r="J21" s="9">
        <v>37192999</v>
      </c>
      <c r="K21" s="9">
        <v>60341469</v>
      </c>
      <c r="L21" s="11">
        <v>10748000</v>
      </c>
      <c r="M21" s="11">
        <v>71089469</v>
      </c>
      <c r="N21" s="7">
        <v>317.92291609076801</v>
      </c>
      <c r="O21" s="7">
        <v>310.50969430008411</v>
      </c>
      <c r="P21" s="7">
        <v>311.38257874316878</v>
      </c>
      <c r="Q21" s="7">
        <v>127.42203004520056</v>
      </c>
      <c r="R21" s="14">
        <v>201.01144263861303</v>
      </c>
      <c r="S21" s="9">
        <v>897679</v>
      </c>
      <c r="T21" s="9">
        <v>601932</v>
      </c>
      <c r="U21" s="9">
        <v>869844</v>
      </c>
      <c r="V21" s="13">
        <v>3127959</v>
      </c>
      <c r="W21" s="8">
        <v>1114000</v>
      </c>
      <c r="X21" s="12">
        <v>328.95548062015507</v>
      </c>
      <c r="Y21" s="12">
        <v>296.48760058479525</v>
      </c>
      <c r="Z21" s="12">
        <v>315.55469243027903</v>
      </c>
      <c r="AA21" s="12">
        <v>118.07664152823921</v>
      </c>
      <c r="AB21" s="12">
        <v>187.32204262948224</v>
      </c>
      <c r="AC21" s="9">
        <v>1910893</v>
      </c>
      <c r="AD21" s="9">
        <v>1271840</v>
      </c>
      <c r="AE21" s="9">
        <v>1710405</v>
      </c>
      <c r="AF21" s="9">
        <v>8125994</v>
      </c>
      <c r="AG21" s="8">
        <v>2364000</v>
      </c>
      <c r="AH21" s="12">
        <v>315.15995534591184</v>
      </c>
      <c r="AI21" s="12">
        <v>335.47336570048299</v>
      </c>
      <c r="AJ21" s="12">
        <v>319.77737038327513</v>
      </c>
      <c r="AK21" s="12">
        <v>124.07350459259247</v>
      </c>
      <c r="AL21" s="12">
        <v>206.253600348432</v>
      </c>
      <c r="AM21" s="9">
        <v>255346</v>
      </c>
      <c r="AN21" s="9">
        <v>154910</v>
      </c>
      <c r="AO21" s="9">
        <v>268965</v>
      </c>
      <c r="AP21" s="9">
        <v>873853</v>
      </c>
      <c r="AQ21" s="8">
        <v>349000</v>
      </c>
      <c r="AR21" s="12">
        <v>360.45089222222219</v>
      </c>
      <c r="AS21" s="12">
        <v>314.6117945054944</v>
      </c>
      <c r="AT21" s="12">
        <v>280.86841772151911</v>
      </c>
      <c r="AU21" s="12">
        <v>121.07229324236508</v>
      </c>
      <c r="AV21" s="12">
        <v>170.73100632911394</v>
      </c>
      <c r="AW21" s="9">
        <v>14429820</v>
      </c>
      <c r="AX21" s="9">
        <v>3491678</v>
      </c>
      <c r="AY21" s="9">
        <v>2256726</v>
      </c>
      <c r="AZ21" s="9">
        <v>2734535</v>
      </c>
      <c r="BA21" s="9">
        <v>14429820</v>
      </c>
      <c r="BB21" s="11">
        <v>3860000</v>
      </c>
      <c r="BC21" s="10">
        <v>300.58799368421052</v>
      </c>
      <c r="BD21" s="10">
        <v>302.23369511400642</v>
      </c>
      <c r="BE21" s="10">
        <v>325.16784262734586</v>
      </c>
      <c r="BF21" s="10">
        <v>134.90420208970465</v>
      </c>
      <c r="BG21" s="10">
        <v>204.68148766756033</v>
      </c>
      <c r="BH21" s="9">
        <v>2637812</v>
      </c>
      <c r="BI21" s="9">
        <v>1406032</v>
      </c>
      <c r="BJ21" s="9">
        <v>2679873</v>
      </c>
      <c r="BK21" s="9">
        <v>10635373</v>
      </c>
      <c r="BL21" s="8">
        <v>3061000</v>
      </c>
      <c r="BM21" s="7">
        <v>288.53642922374462</v>
      </c>
      <c r="BN21" s="7">
        <v>305.33816068376063</v>
      </c>
      <c r="BO21" s="7">
        <v>324.56303528089893</v>
      </c>
      <c r="BP21" s="7">
        <v>131.97611295248822</v>
      </c>
      <c r="BQ21" s="7">
        <v>201.40323011235955</v>
      </c>
    </row>
    <row r="22" spans="1:69" x14ac:dyDescent="0.55000000000000004">
      <c r="A22" s="33" t="s">
        <v>94</v>
      </c>
      <c r="F22" s="1">
        <f>AVERAGE(F12:F21)</f>
        <v>1379.7231999999999</v>
      </c>
      <c r="G22" s="1">
        <f>AVERAGE(G12:G21)</f>
        <v>9000559.2209907882</v>
      </c>
      <c r="H22" s="1">
        <f>AVERAGE(H12:H21)</f>
        <v>4994019.9001655057</v>
      </c>
      <c r="I22" s="1">
        <f>AVERAGE(I12:I21)</f>
        <v>7462809.5313390568</v>
      </c>
      <c r="J22" s="1">
        <f>AVERAGE(J12:J21)</f>
        <v>28573458.866693635</v>
      </c>
      <c r="K22" s="1">
        <f>AVERAGE(K12:K21)</f>
        <v>50030847.519188985</v>
      </c>
      <c r="L22" s="1">
        <f>AVERAGE(L12:L21)</f>
        <v>12211891.824999999</v>
      </c>
      <c r="M22" s="1">
        <f>AVERAGE(M12:M21)</f>
        <v>62242739.344188988</v>
      </c>
      <c r="N22" s="2"/>
      <c r="O22" s="2"/>
      <c r="P22" s="2"/>
      <c r="Q22" s="2"/>
      <c r="R22" s="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9" x14ac:dyDescent="0.55000000000000004">
      <c r="A23" s="33" t="s">
        <v>95</v>
      </c>
      <c r="B23" s="1"/>
      <c r="C23" s="1"/>
      <c r="D23" s="1"/>
      <c r="E23" s="1"/>
      <c r="F23" s="1">
        <f>_xlfn.STDEV.S(F12:F21)</f>
        <v>114.19659199896365</v>
      </c>
      <c r="G23" s="1">
        <f>_xlfn.STDEV.S(G12:G21)</f>
        <v>1962787.2843425013</v>
      </c>
      <c r="H23" s="1">
        <f>_xlfn.STDEV.S(H12:H21)</f>
        <v>925053.24411898153</v>
      </c>
      <c r="I23" s="1">
        <f>_xlfn.STDEV.S(I12:I21)</f>
        <v>1344400.3522304383</v>
      </c>
      <c r="J23" s="1">
        <f>_xlfn.STDEV.S(J12:J21)</f>
        <v>5434038.6496685566</v>
      </c>
      <c r="K23" s="1">
        <f>_xlfn.STDEV.S(K12:K21)</f>
        <v>6582517.7909674589</v>
      </c>
      <c r="L23" s="1">
        <f>_xlfn.STDEV.S(L12:L21)</f>
        <v>1282173.63401246</v>
      </c>
      <c r="M23" s="1">
        <f>_xlfn.STDEV.S(M12:M21)</f>
        <v>7121616.7470483212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"/>
      <c r="AA23" s="5"/>
      <c r="AB23" s="1"/>
      <c r="AC23" s="1"/>
      <c r="AD23" s="1"/>
      <c r="AE23" s="1"/>
      <c r="AF23" s="1"/>
      <c r="AG23" s="1"/>
      <c r="AH23" s="1"/>
      <c r="AI23" s="1"/>
      <c r="AJ23" s="5"/>
      <c r="AK23" s="1"/>
      <c r="AL23" s="1"/>
      <c r="AM23" s="1"/>
      <c r="AN23" s="1"/>
      <c r="AO23" s="1"/>
      <c r="AP23" s="1"/>
      <c r="AQ23" s="1"/>
      <c r="AR23" s="1"/>
      <c r="AS23" s="1"/>
      <c r="AT23" s="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ht="43.2" x14ac:dyDescent="0.55000000000000004">
      <c r="A24" s="33" t="s">
        <v>96</v>
      </c>
      <c r="F24">
        <f>(F22*2)/1000</f>
        <v>2.7594463999999999</v>
      </c>
      <c r="G24">
        <f>G22*2</f>
        <v>18001118.441981576</v>
      </c>
      <c r="H24">
        <f>H22*2</f>
        <v>9988039.8003310114</v>
      </c>
      <c r="I24">
        <f>I22*2</f>
        <v>14925619.062678114</v>
      </c>
      <c r="J24">
        <f>J22*2</f>
        <v>57146917.733387269</v>
      </c>
      <c r="K24">
        <f>K22*2</f>
        <v>100061695.03837797</v>
      </c>
      <c r="L24">
        <f>L22*2</f>
        <v>24423783.649999999</v>
      </c>
      <c r="AJ24" s="3"/>
      <c r="BC24" s="2"/>
      <c r="BD24" s="2"/>
      <c r="BE24" s="2"/>
      <c r="BF24" s="2"/>
    </row>
    <row r="25" spans="1:69" ht="28.8" x14ac:dyDescent="0.55000000000000004">
      <c r="A25" s="33" t="s">
        <v>97</v>
      </c>
      <c r="F25">
        <f>(F23*2)/1000</f>
        <v>0.2283931839979273</v>
      </c>
      <c r="G25">
        <f>G23*2</f>
        <v>3925574.5686850026</v>
      </c>
      <c r="H25">
        <f>H23*2</f>
        <v>1850106.4882379631</v>
      </c>
      <c r="I25">
        <f>I23*2</f>
        <v>2688800.7044608765</v>
      </c>
      <c r="J25">
        <f>J23*2</f>
        <v>10868077.299337113</v>
      </c>
      <c r="K25">
        <f>K23*2</f>
        <v>13165035.581934918</v>
      </c>
      <c r="L25">
        <f>L23*2</f>
        <v>2564347.26802492</v>
      </c>
    </row>
    <row r="26" spans="1:69" x14ac:dyDescent="0.55000000000000004">
      <c r="BF26" s="1"/>
    </row>
    <row r="28" spans="1:69" ht="16.5" x14ac:dyDescent="0.55000000000000004">
      <c r="A28" s="1" t="s">
        <v>92</v>
      </c>
    </row>
    <row r="29" spans="1:69" ht="16.5" x14ac:dyDescent="0.55000000000000004">
      <c r="A29" s="32" t="s">
        <v>93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Data Clean</vt:lpstr>
      <vt:lpstr>'Final Data Clean'!Print_Titles</vt:lpstr>
    </vt:vector>
  </TitlesOfParts>
  <Company>University of California,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Morgan</dc:creator>
  <cp:lastModifiedBy>Michael Proulx</cp:lastModifiedBy>
  <dcterms:created xsi:type="dcterms:W3CDTF">2014-09-09T22:41:36Z</dcterms:created>
  <dcterms:modified xsi:type="dcterms:W3CDTF">2026-02-14T05:47:27Z</dcterms:modified>
</cp:coreProperties>
</file>