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roulx\Dropbox\Do expensive brain regions increase less in humans\1A analyses metabol rates regions\"/>
    </mc:Choice>
  </mc:AlternateContent>
  <xr:revisionPtr revIDLastSave="0" documentId="13_ncr:1_{AF2927FC-BF49-4ADF-B5F7-3633AAE3DFAA}" xr6:coauthVersionLast="44" xr6:coauthVersionMax="45" xr10:uidLastSave="{00000000-0000-0000-0000-000000000000}"/>
  <bookViews>
    <workbookView xWindow="768" yWindow="468" windowWidth="19872" windowHeight="12492" tabRatio="500" firstSheet="1" activeTab="1" xr2:uid="{00000000-000D-0000-FFFF-FFFF00000000}"/>
  </bookViews>
  <sheets>
    <sheet name="rates" sheetId="1" r:id="rId1"/>
    <sheet name="rates incl averaged" sheetId="3" r:id="rId2"/>
    <sheet name="Notes about anatom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S15" i="3" l="1"/>
  <c r="AR22" i="3" l="1"/>
  <c r="AO22" i="3"/>
  <c r="AL22" i="3"/>
  <c r="AI22" i="3"/>
  <c r="AS22" i="3" s="1"/>
  <c r="AF22" i="3"/>
  <c r="AR8" i="3" l="1"/>
  <c r="AR7" i="3"/>
  <c r="AR6" i="3"/>
  <c r="AR5" i="3"/>
  <c r="AR4" i="3"/>
  <c r="AO8" i="3"/>
  <c r="AO7" i="3"/>
  <c r="AO6" i="3"/>
  <c r="AO5" i="3"/>
  <c r="AO4" i="3"/>
  <c r="AL8" i="3"/>
  <c r="AL7" i="3"/>
  <c r="AL6" i="3"/>
  <c r="AL5" i="3"/>
  <c r="AL4" i="3"/>
  <c r="AI8" i="3"/>
  <c r="AS8" i="3" s="1"/>
  <c r="AI7" i="3"/>
  <c r="AS7" i="3" s="1"/>
  <c r="AI6" i="3"/>
  <c r="AS6" i="3" s="1"/>
  <c r="AI5" i="3"/>
  <c r="AI4" i="3"/>
  <c r="AS4" i="3" s="1"/>
  <c r="AF8" i="3"/>
  <c r="AF7" i="3"/>
  <c r="AF6" i="3"/>
  <c r="AF5" i="3"/>
  <c r="AF4" i="3"/>
  <c r="AS5" i="3" l="1"/>
  <c r="L12" i="3"/>
  <c r="L23" i="3" l="1"/>
  <c r="M23" i="3" s="1"/>
  <c r="O23" i="3" s="1"/>
  <c r="L22" i="3"/>
  <c r="M22" i="3" s="1"/>
  <c r="O22" i="3" s="1"/>
  <c r="L20" i="3"/>
  <c r="M20" i="3" s="1"/>
  <c r="O20" i="3" s="1"/>
  <c r="L18" i="3"/>
  <c r="L34" i="3"/>
  <c r="M34" i="3" s="1"/>
  <c r="O34" i="3" s="1"/>
  <c r="L33" i="3"/>
  <c r="L28" i="3"/>
  <c r="L16" i="3"/>
  <c r="L9" i="3"/>
  <c r="L10" i="3"/>
  <c r="L8" i="3"/>
  <c r="L4" i="3"/>
  <c r="M4" i="3" l="1"/>
  <c r="O4" i="3" s="1"/>
  <c r="M33" i="3"/>
  <c r="O33" i="3" s="1"/>
  <c r="M18" i="3"/>
  <c r="O18" i="3" s="1"/>
  <c r="M16" i="3"/>
  <c r="O16" i="3" s="1"/>
  <c r="M12" i="3"/>
  <c r="O12" i="3" s="1"/>
  <c r="M10" i="3"/>
  <c r="O10" i="3" s="1"/>
  <c r="M9" i="3"/>
  <c r="O9" i="3" s="1"/>
  <c r="M8" i="3"/>
  <c r="O8" i="3" s="1"/>
  <c r="M28" i="3"/>
  <c r="O28" i="3" s="1"/>
  <c r="E30" i="1" l="1"/>
  <c r="E28" i="1"/>
  <c r="D89" i="1"/>
  <c r="E31" i="1" s="1"/>
  <c r="D31" i="1" s="1"/>
  <c r="E13" i="1"/>
  <c r="E14" i="1"/>
  <c r="E15" i="1"/>
  <c r="E12" i="1"/>
  <c r="D90" i="1" l="1"/>
  <c r="D30" i="1"/>
  <c r="E60" i="1"/>
  <c r="D60" i="1" s="1"/>
  <c r="E25" i="1" s="1"/>
  <c r="E59" i="1"/>
  <c r="D59" i="1" s="1"/>
  <c r="E24" i="1" s="1"/>
  <c r="D57" i="1"/>
  <c r="E26" i="1" s="1"/>
  <c r="D58" i="1"/>
  <c r="E27" i="1" s="1"/>
  <c r="D56" i="1"/>
  <c r="E61" i="1" l="1"/>
  <c r="D61" i="1" s="1"/>
  <c r="E23" i="1" s="1"/>
  <c r="D24" i="1" s="1"/>
  <c r="D72" i="1"/>
  <c r="D69" i="1"/>
  <c r="D82" i="1"/>
  <c r="D88" i="1"/>
  <c r="D27" i="1" l="1"/>
  <c r="D23" i="1"/>
  <c r="D26" i="1"/>
  <c r="D25" i="1"/>
  <c r="C23" i="1" s="1"/>
  <c r="D73" i="1"/>
  <c r="D84" i="1" s="1"/>
  <c r="D29" i="1" s="1"/>
  <c r="C28" i="1" s="1"/>
  <c r="D13" i="1"/>
  <c r="D15" i="1"/>
  <c r="D14" i="1"/>
  <c r="D12" i="1"/>
  <c r="C12" i="1" l="1"/>
  <c r="D28" i="1"/>
  <c r="D83" i="1"/>
</calcChain>
</file>

<file path=xl/sharedStrings.xml><?xml version="1.0" encoding="utf-8"?>
<sst xmlns="http://schemas.openxmlformats.org/spreadsheetml/2006/main" count="428" uniqueCount="295">
  <si>
    <t xml:space="preserve">including the nucleus basalis of Meynert, diagonal band of Broca, and medial septal nuclei. </t>
    <phoneticPr fontId="3" type="noConversion"/>
  </si>
  <si>
    <t>cerebral white matter</t>
    <phoneticPr fontId="3" type="noConversion"/>
  </si>
  <si>
    <t>Region</t>
  </si>
  <si>
    <t>Cerebral cortex (global average)</t>
  </si>
  <si>
    <t>Frontal lobe</t>
  </si>
  <si>
    <t>Parietal lobe</t>
  </si>
  <si>
    <t>Temporal lobe</t>
  </si>
  <si>
    <t>Occipital lobe</t>
  </si>
  <si>
    <t>Insular lobe</t>
  </si>
  <si>
    <t>Hippocampus</t>
  </si>
  <si>
    <t>Forebrain nuclei</t>
  </si>
  <si>
    <t>Caudatum</t>
  </si>
  <si>
    <t>Putamen</t>
  </si>
  <si>
    <t>Nucleus accumbens</t>
  </si>
  <si>
    <t>Pallidum</t>
  </si>
  <si>
    <t>Nucleus medial thalami</t>
  </si>
  <si>
    <t>Corpus geniculatum laterale</t>
  </si>
  <si>
    <t>Corpus geniculatum mediale</t>
  </si>
  <si>
    <t>Nucleus subthalamicus</t>
  </si>
  <si>
    <t>Basal forebrain</t>
  </si>
  <si>
    <t>Corpus amygdaloideum</t>
  </si>
  <si>
    <t>Brain stem nuclei</t>
  </si>
  <si>
    <t>Colliculus inferior</t>
  </si>
  <si>
    <t>Colliculus superior</t>
  </si>
  <si>
    <t>Substantia nigra</t>
  </si>
  <si>
    <t>Nucleus ruber</t>
  </si>
  <si>
    <t>Cerebellum</t>
  </si>
  <si>
    <t>Cerebellar cortex</t>
  </si>
  <si>
    <t>Vermis</t>
  </si>
  <si>
    <t>Nucleus dentatus cerebelli</t>
  </si>
  <si>
    <t>White matter</t>
  </si>
  <si>
    <t>Centrum semiovale</t>
  </si>
  <si>
    <t>Capsula interna</t>
  </si>
  <si>
    <t>mean (both hemispheres)</t>
    <phoneticPr fontId="3" type="noConversion"/>
  </si>
  <si>
    <t>Data are in _x0001_mol/100 g/min.</t>
  </si>
  <si>
    <t>paleocortex plus neocortex</t>
    <phoneticPr fontId="3" type="noConversion"/>
  </si>
  <si>
    <t>caudate nucleus</t>
    <phoneticPr fontId="3" type="noConversion"/>
  </si>
  <si>
    <t>aka</t>
    <phoneticPr fontId="3" type="noConversion"/>
  </si>
  <si>
    <t>STRIATUM</t>
    <phoneticPr fontId="3" type="noConversion"/>
  </si>
  <si>
    <t>dorsomedial nucleus</t>
    <phoneticPr fontId="3" type="noConversion"/>
  </si>
  <si>
    <t>THALAMUS</t>
    <phoneticPr fontId="3" type="noConversion"/>
  </si>
  <si>
    <t>NEOCORTEX</t>
    <phoneticPr fontId="3" type="noConversion"/>
  </si>
  <si>
    <t>part of</t>
    <phoneticPr fontId="3" type="noConversion"/>
  </si>
  <si>
    <t>MESENCEPHALON</t>
    <phoneticPr fontId="3" type="noConversion"/>
  </si>
  <si>
    <t>components</t>
  </si>
  <si>
    <t>striatum</t>
  </si>
  <si>
    <t>Capsula interna: Made up of the portion of the internal capsule that passes through the diencephalon.</t>
  </si>
  <si>
    <t>corpus geniculatum laterale</t>
  </si>
  <si>
    <t>amygdala</t>
  </si>
  <si>
    <t>mesencephalon</t>
  </si>
  <si>
    <t>Striatum part (Stephan 1/3): Caudatum, Putamen, Nucleus accumbens</t>
  </si>
  <si>
    <t>Striatum part (Stephan 3/3): Caudatum, Putamen, Nucleus accumbens</t>
  </si>
  <si>
    <t>Mesencephalon part (Stephan lack detail): Colliculus inferior, Colliculus superior, Substantia nigra, Nucleus ruber</t>
  </si>
  <si>
    <t>Notes about anatomy, Stephan et al 1981</t>
  </si>
  <si>
    <t>Mesencephalon not directly defined, just says it is missing the "substantia reticularis". Mesancephalon, 8: Without substantia reticularis, see 6.</t>
  </si>
  <si>
    <t>Cerebellum not directly defined, just says 7: Included are brachium and nuclei pontis.</t>
  </si>
  <si>
    <t>Cerebellum part (Stephan lack detail): Cerebellar cortex, Vermis, Nucleus dentatus cerebelli</t>
  </si>
  <si>
    <t>CEREBELLUM</t>
  </si>
  <si>
    <t>Neocortex white. Frahm 1982</t>
  </si>
  <si>
    <t>Neocortex white Frahm 1982. the white matter with the corpus callosum but without the internal capsule.</t>
  </si>
  <si>
    <t>Neocortex Stephan et al 1981  is defined. 18: Included are the underlying white matter and the corpus callosum. From the transitional cortices are included insular, subgenual,
cingular and retrosplenial regions.</t>
  </si>
  <si>
    <t>Frahm 1984. area striata grey</t>
  </si>
  <si>
    <t>nucleus subthalamicus Luysi</t>
  </si>
  <si>
    <t>Striatum part (Stephan 2/3): Caudatum, Putamen, Nucleus accumbens</t>
  </si>
  <si>
    <t>Thalamus part "medial thalamic nucleus"</t>
  </si>
  <si>
    <t>Thalamus part "medial geniculate nucleus"</t>
  </si>
  <si>
    <t>Paleocortex part; [Heiss: proxy for nucleus basalis of Meynert]</t>
  </si>
  <si>
    <t>Paleocortex Stephan et al 1981 29: Included are retrobulbar cortex (anterior olfactory nucleus), prepiriform cortex, lateral and medial olfactory tracts, internal olfactory
tract + anterior commissure, olfactory tubercle, substantia innominata and basal nucleus of Meynert.</t>
  </si>
  <si>
    <t>other data</t>
  </si>
  <si>
    <t>neuron number (Raghanti 2011)</t>
  </si>
  <si>
    <t>neuron number (lewitus)</t>
  </si>
  <si>
    <t>neuron number Herculano Houzel 2009</t>
  </si>
  <si>
    <t>regional cerebral metabolic rates for glucose (rCMRGlc) Values</t>
  </si>
  <si>
    <t>STEPHAN EQUIVALENT STRUCTURE</t>
  </si>
  <si>
    <t>get HUMAN substructure volumes to estimate an average rate for:</t>
  </si>
  <si>
    <t xml:space="preserve">cerebellum </t>
  </si>
  <si>
    <t>Neocortex grey. Frahm 1982. Heiss seems to be the same thing since it matches the average of the lobes (not including hippocampus).</t>
  </si>
  <si>
    <t xml:space="preserve">Bauernfeind -- primates but some different animals. </t>
  </si>
  <si>
    <t>2. Garcia-Gomar et al have n = 12 with more substructures and literature data: IC, SC, MGN, LGN, SOC</t>
  </si>
  <si>
    <t>https://www.frontiersin.org/articles/10.3389/fnins.2019.00764/full#h3</t>
  </si>
  <si>
    <t>https://www.ncbi.nlm.nih.gov/pmc/articles/PMC3437223/</t>
  </si>
  <si>
    <t>1. de Jong et al has Controls (vs DAT), n = 347, hippocampus plus striatum</t>
  </si>
  <si>
    <r>
      <t>Striatum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</si>
  <si>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Accumbens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</si>
  <si>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Putamen</t>
    </r>
    <r>
      <rPr>
        <sz val="8.4499999999999993"/>
        <color rgb="FF000000"/>
        <rFont val="Times New Roman"/>
        <family val="1"/>
      </rPr>
      <t> 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</si>
  <si>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r>
      <t>Caudate nucleus</t>
    </r>
    <r>
      <rPr>
        <sz val="8.4499999999999993"/>
        <color rgb="FF000000"/>
        <rFont val="Times New Roman"/>
        <family val="1"/>
      </rPr>
      <t>[cm</t>
    </r>
    <r>
      <rPr>
        <vertAlign val="superscript"/>
        <sz val="10"/>
        <color rgb="FF000000"/>
        <rFont val="Times New Roman"/>
        <family val="1"/>
      </rPr>
      <t>3</t>
    </r>
    <r>
      <rPr>
        <sz val="8.4499999999999993"/>
        <color rgb="FF000000"/>
        <rFont val="Times New Roman"/>
        <family val="1"/>
      </rPr>
      <t>]</t>
    </r>
  </si>
  <si>
    <t>de Jong et al</t>
  </si>
  <si>
    <t>Neither has all</t>
  </si>
  <si>
    <t xml:space="preserve">1. Two studies with developmental samples -- take the 18 year olds, or all possibly too young? </t>
  </si>
  <si>
    <t>Striatum</t>
  </si>
  <si>
    <t>*weighted averages of subregions in red</t>
  </si>
  <si>
    <t>Subregion portion</t>
  </si>
  <si>
    <t>Subregion size</t>
  </si>
  <si>
    <t>Subregion source</t>
  </si>
  <si>
    <t>NEOCORTEX</t>
  </si>
  <si>
    <t>red nucleus</t>
  </si>
  <si>
    <t>* tectum = inf + sup coll</t>
  </si>
  <si>
    <t>intrenal capsule</t>
  </si>
  <si>
    <t>lateral geniculate nucleus</t>
  </si>
  <si>
    <t>medial geniculate nucleus</t>
  </si>
  <si>
    <t>accumbens</t>
  </si>
  <si>
    <r>
      <t>cm</t>
    </r>
    <r>
      <rPr>
        <vertAlign val="superscript"/>
        <sz val="10"/>
        <rFont val="Verdana"/>
        <family val="2"/>
      </rPr>
      <t>3</t>
    </r>
  </si>
  <si>
    <t xml:space="preserve">V1 grey </t>
  </si>
  <si>
    <t xml:space="preserve">V2 grey </t>
  </si>
  <si>
    <t xml:space="preserve">V3 grey </t>
  </si>
  <si>
    <t xml:space="preserve">V4 grey </t>
  </si>
  <si>
    <t xml:space="preserve">V1 white </t>
  </si>
  <si>
    <t xml:space="preserve">V2 white </t>
  </si>
  <si>
    <t xml:space="preserve">V3 white </t>
  </si>
  <si>
    <t xml:space="preserve">V4 white </t>
  </si>
  <si>
    <t>Vermian regions total</t>
  </si>
  <si>
    <t>cerebellum total</t>
  </si>
  <si>
    <t>left grey</t>
  </si>
  <si>
    <t>right grey</t>
  </si>
  <si>
    <t>left white</t>
  </si>
  <si>
    <t>right white</t>
  </si>
  <si>
    <t>vermis as proportion cerebellum</t>
  </si>
  <si>
    <t>https://jamanetwork.com/journals/jamapsychiatry/fullarticle/205780</t>
  </si>
  <si>
    <t>white total</t>
  </si>
  <si>
    <t>grey total</t>
  </si>
  <si>
    <t>cortex (grey)  as proportion cerebellum</t>
  </si>
  <si>
    <t>region</t>
  </si>
  <si>
    <t>dentate nucleus</t>
  </si>
  <si>
    <t>Sullivan et al 2000</t>
  </si>
  <si>
    <t>MacLeod et al 2003</t>
  </si>
  <si>
    <t>Matano 2001</t>
  </si>
  <si>
    <t>dentate nucleus as proportion cerebellum</t>
  </si>
  <si>
    <t>Cerebellum (average)</t>
  </si>
  <si>
    <t>Mesencephalon (average)</t>
  </si>
  <si>
    <t>Striatum (average)</t>
  </si>
  <si>
    <t xml:space="preserve">http://www.ajnr.org/content/32/4/688  </t>
  </si>
  <si>
    <t>1. Eapen et al have Substantia Nigra, Red Nucleus, and Ventral Tegmental Area volumes, n = 10; No apparent breakdown by colliculi though…</t>
  </si>
  <si>
    <t>Eapen et al 2011</t>
  </si>
  <si>
    <r>
      <t>mm</t>
    </r>
    <r>
      <rPr>
        <vertAlign val="superscript"/>
        <sz val="10"/>
        <rFont val="Verdana"/>
        <family val="2"/>
      </rPr>
      <t>3</t>
    </r>
  </si>
  <si>
    <t>Red nuclues</t>
  </si>
  <si>
    <t>Ventral Tegmental Area</t>
  </si>
  <si>
    <t>GRASE</t>
  </si>
  <si>
    <t>Inferior colliculus</t>
  </si>
  <si>
    <t>Superior colliculus</t>
  </si>
  <si>
    <t xml:space="preserve">midbrain total </t>
  </si>
  <si>
    <t>Garcia-Gomar et al 2019</t>
  </si>
  <si>
    <t>not sure about unit of volume, maybe cm3</t>
  </si>
  <si>
    <t>Eapen et al 2011 PLUS  Garcia-Gomar et al 2019</t>
  </si>
  <si>
    <t>MacLead et al 2003 for histology (used Sullivan et al 2000 for MRI proportions)</t>
  </si>
  <si>
    <t>Matano 2011</t>
  </si>
  <si>
    <t>Sullivan et al 2000 (as propotion cerebellum)</t>
  </si>
  <si>
    <t>Mesencephalon</t>
  </si>
  <si>
    <t>Brainstem nuclei</t>
  </si>
  <si>
    <t>area striata grey</t>
  </si>
  <si>
    <t>Frahm 1982</t>
  </si>
  <si>
    <t>Equivalent to</t>
  </si>
  <si>
    <t>Frahm 1982. Heiss seems to be the same thing since it matches the average of the lobes (not including hippocampus).</t>
  </si>
  <si>
    <t>Source and notes</t>
  </si>
  <si>
    <t>insula grey</t>
  </si>
  <si>
    <t>Neocortex white</t>
  </si>
  <si>
    <t>Stephan et al 1981</t>
  </si>
  <si>
    <t xml:space="preserve">Bauernfeind et al 2012 -- primates but some different animals. </t>
  </si>
  <si>
    <t>de Sousa et al 2010 JHE</t>
  </si>
  <si>
    <t>slope</t>
  </si>
  <si>
    <t>PGLS NHP</t>
  </si>
  <si>
    <t>intercept</t>
  </si>
  <si>
    <t xml:space="preserve">Pr(&gt;|t|) </t>
  </si>
  <si>
    <t>&lt;- x, Homo sapiens Brain_weight Stephan 1,330,000 mg</t>
  </si>
  <si>
    <t>NeoG_Frahm</t>
  </si>
  <si>
    <t>ASG_Sousa</t>
  </si>
  <si>
    <t>Total_insula_volume</t>
  </si>
  <si>
    <t>LGN_Sousa</t>
  </si>
  <si>
    <t>Nucleus_subthalamicus</t>
  </si>
  <si>
    <t>Amygdala</t>
  </si>
  <si>
    <t>NeoW_Frahm</t>
  </si>
  <si>
    <t>Capsula_interna</t>
  </si>
  <si>
    <t>observed</t>
  </si>
  <si>
    <t>human</t>
  </si>
  <si>
    <t>y</t>
  </si>
  <si>
    <t>ln(y)=m* ln(x)+c</t>
  </si>
  <si>
    <t>ln(x)</t>
  </si>
  <si>
    <t>m</t>
  </si>
  <si>
    <t>&lt; 2.2e-16</t>
  </si>
  <si>
    <t>O/P % diff</t>
  </si>
  <si>
    <t>&lt;2e-16</t>
  </si>
  <si>
    <t>&lt; 2e-16</t>
  </si>
  <si>
    <t>rCMRGlc</t>
  </si>
  <si>
    <t>lambda</t>
  </si>
  <si>
    <t>Neocortex grey</t>
  </si>
  <si>
    <t>Beta (regression with age)</t>
  </si>
  <si>
    <t>% change with age</t>
  </si>
  <si>
    <t>Walhovd 2005</t>
  </si>
  <si>
    <t>Cerebral WM</t>
  </si>
  <si>
    <t>Cortical gray</t>
  </si>
  <si>
    <t>Thalamus</t>
  </si>
  <si>
    <t>Accumbens area</t>
  </si>
  <si>
    <t>Caudate</t>
  </si>
  <si>
    <t>Brainstem</t>
  </si>
  <si>
    <t>Cerebellar WM</t>
  </si>
  <si>
    <t>Lateral ventricles</t>
  </si>
  <si>
    <t>Inferior lateral ventricle</t>
  </si>
  <si>
    <t>3rd ventricle</t>
  </si>
  <si>
    <t>4th ventricle</t>
  </si>
  <si>
    <t>Cerebral Cortex</t>
  </si>
  <si>
    <t>Walhovd 2011 -- 18-29 to 80-95 change</t>
  </si>
  <si>
    <t>CSF</t>
  </si>
  <si>
    <t>Total volume</t>
  </si>
  <si>
    <t>Brain Dev Coop 2012</t>
  </si>
  <si>
    <t>age related % change per year from ref volume (female RH) control for Total Brain Vol</t>
  </si>
  <si>
    <t>Frontal Lobar GM</t>
  </si>
  <si>
    <t>Parietal Lobar GM</t>
  </si>
  <si>
    <t>Temporal Lobar GM</t>
  </si>
  <si>
    <t>Occipital Lobar GM</t>
  </si>
  <si>
    <t>Occipital lobe WM</t>
  </si>
  <si>
    <t>Frontal lobe WM</t>
  </si>
  <si>
    <t>Parietal lobe WM</t>
  </si>
  <si>
    <t>Temporal lobe WM</t>
  </si>
  <si>
    <t>Caudate Nucleus</t>
  </si>
  <si>
    <t>Lobar GM</t>
  </si>
  <si>
    <t>OP_Diff</t>
  </si>
  <si>
    <t>development_change</t>
  </si>
  <si>
    <t>aging_change</t>
  </si>
  <si>
    <t>aging_Beta</t>
  </si>
  <si>
    <t>Cerebral_cortex_(global_average)</t>
  </si>
  <si>
    <t>Frontal_lobe</t>
  </si>
  <si>
    <t>Parietal_lobe</t>
  </si>
  <si>
    <t>Temporal_lobe</t>
  </si>
  <si>
    <t>Occipital_lobe</t>
  </si>
  <si>
    <t>Insular_lobe</t>
  </si>
  <si>
    <t>Forebrain_nuclei</t>
  </si>
  <si>
    <t>Nucleus_accumbens</t>
  </si>
  <si>
    <t>Nucleus_medial_thalami</t>
  </si>
  <si>
    <t>Corpus_geniculatum_laterale</t>
  </si>
  <si>
    <t>Corpus_geniculatum_mediale</t>
  </si>
  <si>
    <t>Basal_forebrain</t>
  </si>
  <si>
    <t>Corpus_amygdaloideum</t>
  </si>
  <si>
    <t>Brainstem_nuclei</t>
  </si>
  <si>
    <t>Colliculus_inferior</t>
  </si>
  <si>
    <t>Colliculus_superior</t>
  </si>
  <si>
    <t>Substantia_nigra</t>
  </si>
  <si>
    <t>Nucleus_ruber</t>
  </si>
  <si>
    <t>Cerebellar_cortex</t>
  </si>
  <si>
    <t>Nucleus_dentatus_cerebelli</t>
  </si>
  <si>
    <t>White_matter</t>
  </si>
  <si>
    <t>Centrum_semiovale</t>
  </si>
  <si>
    <t>Cerebellar_WM</t>
  </si>
  <si>
    <t>Lateral_ventricles</t>
  </si>
  <si>
    <t>Inferior_lateral_ventricle</t>
  </si>
  <si>
    <t>3rd_ventricle</t>
  </si>
  <si>
    <t>4th_ventricle</t>
  </si>
  <si>
    <t>Total_volume</t>
  </si>
  <si>
    <t>Frontal_lobe_WM</t>
  </si>
  <si>
    <t>Parietal_lobe_WM</t>
  </si>
  <si>
    <t>Temporal_lobe_WM</t>
  </si>
  <si>
    <t>Occipital_lobe_WM</t>
  </si>
  <si>
    <t>Neuron Number</t>
  </si>
  <si>
    <t>Neuron_N</t>
  </si>
  <si>
    <t>Glia Number</t>
  </si>
  <si>
    <t>Glia_N</t>
  </si>
  <si>
    <t>Astrocyte Number</t>
  </si>
  <si>
    <t>Astro_N</t>
  </si>
  <si>
    <t>Oligodendrocyte Number</t>
  </si>
  <si>
    <t>Oligo_N</t>
  </si>
  <si>
    <t>Microglia Number</t>
  </si>
  <si>
    <t>Microglia_N</t>
  </si>
  <si>
    <t>Lobe cell numbers from Karlsen &amp; Pakkenberg (2011)</t>
  </si>
  <si>
    <t>K&amp;P areas</t>
  </si>
  <si>
    <t>Frontal</t>
  </si>
  <si>
    <t>Parietal</t>
  </si>
  <si>
    <t>Temporal</t>
  </si>
  <si>
    <t>Occipital</t>
  </si>
  <si>
    <t>NeurDensity</t>
  </si>
  <si>
    <t>GliaDensity</t>
  </si>
  <si>
    <t>AstroDensity</t>
  </si>
  <si>
    <t>OligoDensity</t>
  </si>
  <si>
    <t>MicroDensity</t>
  </si>
  <si>
    <t>VolumeSD</t>
  </si>
  <si>
    <t>NeuronSD</t>
  </si>
  <si>
    <t>GliaSD</t>
  </si>
  <si>
    <t>AstroSD</t>
  </si>
  <si>
    <t>OligoSD</t>
  </si>
  <si>
    <t>MicroSD</t>
  </si>
  <si>
    <t>Neocortex (sum of lobes)</t>
  </si>
  <si>
    <t>Morgan et al</t>
  </si>
  <si>
    <t>Volume (cm2)</t>
  </si>
  <si>
    <t>Hanson et al</t>
  </si>
  <si>
    <t>Associative Putamen did NOT include dorsal putamen</t>
  </si>
  <si>
    <t>Dorsal &amp; Medial -- cannot sum densitities together. Average?</t>
  </si>
  <si>
    <t>Only part available that matches?</t>
  </si>
  <si>
    <t>Put MRI Volumes on their own</t>
  </si>
  <si>
    <t>UK-Romanian orphans</t>
  </si>
  <si>
    <t>Brain</t>
  </si>
  <si>
    <t>Orphan_change</t>
  </si>
  <si>
    <t>Calc Glia/Neuron ratio (with Densities)</t>
  </si>
  <si>
    <t>GliaNeurDensityRatio</t>
  </si>
  <si>
    <t>Heiss 1985</t>
  </si>
  <si>
    <t>Heiss 1984</t>
  </si>
  <si>
    <t>Primary Visual Cortex</t>
  </si>
  <si>
    <t>V1</t>
  </si>
  <si>
    <t>Heiss (2004)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</si>
</sst>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23" x14ac:knownFonts="1">
    <font>
      <sz val="10"/>
      <name val="Verdana"/>
    </font>
    <font>
      <b/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z val="11"/>
      <name val="Times"/>
      <family val="1"/>
    </font>
    <font>
      <sz val="10"/>
      <name val="Verdana"/>
      <family val="2"/>
    </font>
    <font>
      <i/>
      <sz val="10"/>
      <name val="Verdana"/>
      <family val="2"/>
    </font>
    <font>
      <u/>
      <sz val="10"/>
      <name val="Verdana"/>
      <family val="2"/>
    </font>
    <font>
      <u/>
      <sz val="10"/>
      <color theme="10"/>
      <name val="Verdana"/>
      <family val="2"/>
    </font>
    <font>
      <sz val="8.4499999999999993"/>
      <color rgb="FF000000"/>
      <name val="Times New Roman"/>
      <family val="1"/>
    </font>
    <font>
      <b/>
      <sz val="8.4499999999999993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8.4499999999999993"/>
      <color theme="0" tint="-0.249977111117893"/>
      <name val="Times New Roman"/>
      <family val="1"/>
    </font>
    <font>
      <sz val="8.4499999999999993"/>
      <color theme="0" tint="-0.249977111117893"/>
      <name val="Times New Roman"/>
      <family val="1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8"/>
      <name val="Times"/>
      <family val="1"/>
    </font>
    <font>
      <vertAlign val="superscript"/>
      <sz val="10"/>
      <name val="Verdana"/>
      <family val="2"/>
    </font>
    <font>
      <sz val="10"/>
      <color rgb="FF00B050"/>
      <name val="Verdana"/>
      <family val="2"/>
    </font>
    <font>
      <sz val="8.4499999999999993"/>
      <color rgb="FF00B050"/>
      <name val="Times New Roman"/>
      <family val="1"/>
    </font>
    <font>
      <b/>
      <sz val="10"/>
      <color rgb="FF00B050"/>
      <name val="Verdana"/>
      <family val="2"/>
    </font>
    <font>
      <i/>
      <sz val="10"/>
      <color rgb="FF00B050"/>
      <name val="Verdana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5" fillId="0" borderId="0" xfId="0" applyFont="1" applyFill="1" applyAlignment="1"/>
    <xf numFmtId="0" fontId="0" fillId="0" borderId="0" xfId="0" applyFill="1" applyAlignment="1"/>
    <xf numFmtId="0" fontId="0" fillId="0" borderId="0" xfId="0" applyAlignment="1"/>
    <xf numFmtId="0" fontId="7" fillId="0" borderId="0" xfId="0" applyFont="1" applyFill="1" applyAlignment="1"/>
    <xf numFmtId="0" fontId="7" fillId="0" borderId="0" xfId="0" applyFont="1" applyAlignment="1"/>
    <xf numFmtId="0" fontId="2" fillId="0" borderId="0" xfId="0" applyFont="1" applyFill="1" applyAlignment="1"/>
    <xf numFmtId="0" fontId="2" fillId="0" borderId="0" xfId="0" applyFont="1" applyAlignment="1"/>
    <xf numFmtId="0" fontId="1" fillId="0" borderId="0" xfId="0" applyFont="1" applyFill="1" applyAlignment="1"/>
    <xf numFmtId="0" fontId="5" fillId="0" borderId="0" xfId="0" applyFont="1" applyAlignment="1"/>
    <xf numFmtId="0" fontId="5" fillId="2" borderId="0" xfId="0" applyFont="1" applyFill="1" applyAlignment="1"/>
    <xf numFmtId="0" fontId="0" fillId="2" borderId="0" xfId="0" applyFill="1" applyAlignment="1"/>
    <xf numFmtId="0" fontId="6" fillId="3" borderId="0" xfId="0" applyFont="1" applyFill="1" applyAlignment="1"/>
    <xf numFmtId="0" fontId="6" fillId="0" borderId="0" xfId="0" applyFont="1" applyAlignment="1"/>
    <xf numFmtId="0" fontId="4" fillId="0" borderId="0" xfId="0" applyFont="1" applyFill="1" applyAlignment="1"/>
    <xf numFmtId="0" fontId="0" fillId="4" borderId="0" xfId="0" applyFill="1" applyAlignment="1"/>
    <xf numFmtId="0" fontId="0" fillId="5" borderId="0" xfId="0" applyFill="1" applyAlignment="1"/>
    <xf numFmtId="0" fontId="5" fillId="5" borderId="0" xfId="0" applyFont="1" applyFill="1" applyAlignment="1"/>
    <xf numFmtId="0" fontId="5" fillId="6" borderId="0" xfId="0" applyFont="1" applyFill="1" applyAlignment="1"/>
    <xf numFmtId="0" fontId="8" fillId="5" borderId="0" xfId="1" applyFill="1"/>
    <xf numFmtId="0" fontId="8" fillId="4" borderId="0" xfId="1" applyFill="1" applyAlignment="1"/>
    <xf numFmtId="0" fontId="14" fillId="0" borderId="0" xfId="0" applyFont="1" applyFill="1" applyAlignment="1"/>
    <xf numFmtId="0" fontId="15" fillId="0" borderId="0" xfId="0" applyFont="1" applyFill="1" applyAlignment="1"/>
    <xf numFmtId="0" fontId="15" fillId="0" borderId="0" xfId="0" applyFont="1" applyAlignment="1"/>
    <xf numFmtId="0" fontId="0" fillId="0" borderId="0" xfId="0" applyFont="1" applyAlignment="1"/>
    <xf numFmtId="0" fontId="16" fillId="0" borderId="0" xfId="0" applyFont="1"/>
    <xf numFmtId="0" fontId="1" fillId="0" borderId="0" xfId="0" applyFont="1" applyAlignment="1"/>
    <xf numFmtId="0" fontId="8" fillId="0" borderId="0" xfId="1" applyAlignment="1"/>
    <xf numFmtId="0" fontId="0" fillId="0" borderId="0" xfId="0" applyFont="1" applyFill="1" applyAlignment="1"/>
    <xf numFmtId="0" fontId="5" fillId="0" borderId="0" xfId="0" applyFont="1"/>
    <xf numFmtId="0" fontId="18" fillId="0" borderId="0" xfId="0" applyFont="1" applyAlignment="1"/>
    <xf numFmtId="0" fontId="10" fillId="7" borderId="1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20" fillId="0" borderId="0" xfId="0" applyFont="1" applyAlignment="1"/>
    <xf numFmtId="4" fontId="16" fillId="0" borderId="0" xfId="0" applyNumberFormat="1" applyFont="1"/>
    <xf numFmtId="0" fontId="6" fillId="0" borderId="0" xfId="0" applyFont="1" applyFill="1" applyAlignment="1"/>
    <xf numFmtId="0" fontId="12" fillId="0" borderId="2" xfId="0" applyFont="1" applyFill="1" applyBorder="1" applyAlignment="1">
      <alignment horizontal="left" vertical="center"/>
    </xf>
    <xf numFmtId="0" fontId="21" fillId="0" borderId="0" xfId="0" applyFont="1" applyAlignment="1"/>
    <xf numFmtId="164" fontId="0" fillId="0" borderId="0" xfId="0" applyNumberFormat="1"/>
    <xf numFmtId="0" fontId="5" fillId="0" borderId="0" xfId="0" applyFont="1" applyFill="1"/>
    <xf numFmtId="0" fontId="6" fillId="0" borderId="0" xfId="0" applyFont="1" applyFill="1"/>
    <xf numFmtId="0" fontId="7" fillId="0" borderId="0" xfId="0" applyFont="1"/>
    <xf numFmtId="0" fontId="7" fillId="0" borderId="0" xfId="0" applyFont="1" applyFill="1"/>
    <xf numFmtId="3" fontId="0" fillId="0" borderId="0" xfId="0" applyNumberFormat="1"/>
    <xf numFmtId="11" fontId="0" fillId="0" borderId="0" xfId="0" applyNumberFormat="1"/>
    <xf numFmtId="0" fontId="0" fillId="4" borderId="0" xfId="0" applyFill="1"/>
    <xf numFmtId="0" fontId="7" fillId="4" borderId="0" xfId="0" applyFont="1" applyFill="1"/>
    <xf numFmtId="0" fontId="1" fillId="4" borderId="0" xfId="0" applyFont="1" applyFill="1"/>
    <xf numFmtId="0" fontId="5" fillId="4" borderId="0" xfId="0" applyFont="1" applyFill="1"/>
    <xf numFmtId="0" fontId="0" fillId="4" borderId="0" xfId="0" applyNumberFormat="1" applyFill="1"/>
    <xf numFmtId="0" fontId="7" fillId="4" borderId="0" xfId="0" applyNumberFormat="1" applyFont="1" applyFill="1"/>
    <xf numFmtId="0" fontId="0" fillId="0" borderId="0" xfId="0" applyFill="1"/>
    <xf numFmtId="0" fontId="1" fillId="0" borderId="0" xfId="0" applyFont="1" applyFill="1"/>
    <xf numFmtId="0" fontId="5" fillId="8" borderId="0" xfId="0" applyFont="1" applyFill="1"/>
    <xf numFmtId="0" fontId="0" fillId="8" borderId="0" xfId="0" applyFill="1"/>
    <xf numFmtId="0" fontId="7" fillId="8" borderId="0" xfId="0" applyFont="1" applyFill="1"/>
    <xf numFmtId="0" fontId="0" fillId="0" borderId="0" xfId="0" applyFont="1" applyFill="1"/>
    <xf numFmtId="11" fontId="0" fillId="0" borderId="0" xfId="0" applyNumberFormat="1" applyFill="1"/>
    <xf numFmtId="165" fontId="0" fillId="0" borderId="0" xfId="0" applyNumberFormat="1"/>
    <xf numFmtId="0" fontId="22" fillId="0" borderId="0" xfId="0" applyFont="1"/>
    <xf numFmtId="2" fontId="0" fillId="0" borderId="0" xfId="0" applyNumberFormat="1"/>
    <xf numFmtId="0" fontId="5" fillId="2" borderId="0" xfId="0" applyFont="1" applyFill="1"/>
    <xf numFmtId="0" fontId="0" fillId="2" borderId="0" xfId="0" applyNumberFormat="1" applyFill="1"/>
    <xf numFmtId="0" fontId="15" fillId="0" borderId="0" xfId="0" applyFont="1" applyFill="1"/>
    <xf numFmtId="0" fontId="15" fillId="4" borderId="0" xfId="0" applyFont="1" applyFill="1"/>
    <xf numFmtId="0" fontId="15" fillId="2" borderId="0" xfId="0" applyFont="1" applyFill="1"/>
    <xf numFmtId="0" fontId="15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3437223/" TargetMode="External"/><Relationship Id="rId2" Type="http://schemas.openxmlformats.org/officeDocument/2006/relationships/hyperlink" Target="https://www.frontiersin.org/articles/10.3389/fnins.2019.00764/full" TargetMode="External"/><Relationship Id="rId1" Type="http://schemas.openxmlformats.org/officeDocument/2006/relationships/hyperlink" Target="http://www.ajnr.org/content/32/4/68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jamanetwork.com/journals/jamapsychiatry/fullarticle/2057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zoomScale="110" zoomScaleNormal="110" workbookViewId="0">
      <selection activeCell="J4" sqref="J4"/>
    </sheetView>
  </sheetViews>
  <sheetFormatPr defaultColWidth="10.81640625" defaultRowHeight="12.6" x14ac:dyDescent="0.2"/>
  <cols>
    <col min="1" max="1" width="1.6328125" style="2" customWidth="1"/>
    <col min="2" max="2" width="30.81640625" style="2" customWidth="1"/>
    <col min="3" max="3" width="5.453125" style="3" customWidth="1"/>
    <col min="4" max="4" width="16.453125" style="3" customWidth="1"/>
    <col min="5" max="5" width="22.453125" style="3" customWidth="1"/>
    <col min="6" max="6" width="98" style="3" customWidth="1"/>
    <col min="7" max="7" width="20.1796875" style="2" customWidth="1"/>
    <col min="8" max="8" width="5.1796875" style="3" customWidth="1"/>
    <col min="9" max="9" width="16.453125" style="3" customWidth="1"/>
    <col min="10" max="10" width="16.36328125" style="3" customWidth="1"/>
    <col min="11" max="11" width="78" style="3" customWidth="1"/>
    <col min="12" max="16384" width="10.81640625" style="3"/>
  </cols>
  <sheetData>
    <row r="1" spans="1:11" x14ac:dyDescent="0.2">
      <c r="A1" s="1" t="s">
        <v>72</v>
      </c>
    </row>
    <row r="2" spans="1:11" s="5" customFormat="1" x14ac:dyDescent="0.2">
      <c r="A2" s="4" t="s">
        <v>34</v>
      </c>
      <c r="B2" s="4"/>
      <c r="D2" s="5" t="s">
        <v>91</v>
      </c>
      <c r="E2" s="5" t="s">
        <v>92</v>
      </c>
      <c r="F2" s="5" t="s">
        <v>73</v>
      </c>
      <c r="G2" s="4" t="s">
        <v>93</v>
      </c>
      <c r="H2" s="5" t="s">
        <v>37</v>
      </c>
      <c r="I2" s="5" t="s">
        <v>42</v>
      </c>
      <c r="J2" s="5" t="s">
        <v>44</v>
      </c>
      <c r="K2" s="5" t="s">
        <v>68</v>
      </c>
    </row>
    <row r="3" spans="1:11" x14ac:dyDescent="0.2">
      <c r="A3" s="6" t="s">
        <v>2</v>
      </c>
      <c r="C3" s="7" t="s">
        <v>33</v>
      </c>
      <c r="D3" s="7"/>
      <c r="E3" s="7"/>
      <c r="F3" s="7"/>
      <c r="G3" s="6"/>
    </row>
    <row r="4" spans="1:11" x14ac:dyDescent="0.2">
      <c r="A4" s="8" t="s">
        <v>3</v>
      </c>
      <c r="C4" s="3">
        <v>33.5</v>
      </c>
      <c r="F4" s="9" t="s">
        <v>76</v>
      </c>
      <c r="J4" s="3" t="s">
        <v>35</v>
      </c>
      <c r="K4" s="9" t="s">
        <v>71</v>
      </c>
    </row>
    <row r="5" spans="1:11" x14ac:dyDescent="0.2">
      <c r="B5" s="2" t="s">
        <v>4</v>
      </c>
      <c r="C5" s="3">
        <v>35.299999999999997</v>
      </c>
      <c r="I5" s="3" t="s">
        <v>41</v>
      </c>
    </row>
    <row r="6" spans="1:11" x14ac:dyDescent="0.2">
      <c r="B6" s="2" t="s">
        <v>5</v>
      </c>
      <c r="C6" s="3">
        <v>35.799999999999997</v>
      </c>
      <c r="I6" s="3" t="s">
        <v>41</v>
      </c>
    </row>
    <row r="7" spans="1:11" x14ac:dyDescent="0.2">
      <c r="B7" s="2" t="s">
        <v>6</v>
      </c>
      <c r="C7" s="3">
        <v>30.5</v>
      </c>
      <c r="I7" s="3" t="s">
        <v>41</v>
      </c>
    </row>
    <row r="8" spans="1:11" x14ac:dyDescent="0.2">
      <c r="B8" s="2" t="s">
        <v>7</v>
      </c>
      <c r="C8" s="3">
        <v>35.799999999999997</v>
      </c>
      <c r="F8" s="9" t="s">
        <v>61</v>
      </c>
      <c r="G8" s="1"/>
      <c r="I8" s="3" t="s">
        <v>41</v>
      </c>
      <c r="K8" s="9" t="s">
        <v>70</v>
      </c>
    </row>
    <row r="9" spans="1:11" x14ac:dyDescent="0.2">
      <c r="B9" s="2" t="s">
        <v>8</v>
      </c>
      <c r="C9" s="3">
        <v>30.3</v>
      </c>
      <c r="F9" s="9" t="s">
        <v>77</v>
      </c>
      <c r="I9" s="3" t="s">
        <v>41</v>
      </c>
    </row>
    <row r="10" spans="1:11" x14ac:dyDescent="0.2">
      <c r="B10" s="2" t="s">
        <v>9</v>
      </c>
      <c r="C10" s="3">
        <v>25.7</v>
      </c>
      <c r="F10" s="3" t="s">
        <v>9</v>
      </c>
      <c r="K10" s="9" t="s">
        <v>70</v>
      </c>
    </row>
    <row r="11" spans="1:11" x14ac:dyDescent="0.2">
      <c r="A11" s="6" t="s">
        <v>10</v>
      </c>
    </row>
    <row r="12" spans="1:11" s="23" customFormat="1" x14ac:dyDescent="0.2">
      <c r="A12" s="21"/>
      <c r="B12" s="22" t="s">
        <v>89</v>
      </c>
      <c r="C12" s="23">
        <f>(C13*D13+C14*D14+C15*D15)/(D13+D14+D15)</f>
        <v>36.268968968968977</v>
      </c>
      <c r="D12" s="3">
        <f>E12/$E$12</f>
        <v>1</v>
      </c>
      <c r="E12" s="3">
        <f>D44</f>
        <v>20</v>
      </c>
      <c r="F12" s="1" t="s">
        <v>129</v>
      </c>
      <c r="G12" s="1" t="s">
        <v>86</v>
      </c>
    </row>
    <row r="13" spans="1:11" x14ac:dyDescent="0.2">
      <c r="B13" s="2" t="s">
        <v>11</v>
      </c>
      <c r="C13" s="13">
        <v>32.6</v>
      </c>
      <c r="D13" s="3">
        <f>E13/$E$12</f>
        <v>0.44500000000000001</v>
      </c>
      <c r="E13" s="3">
        <f t="shared" ref="E13:E15" si="0">D45</f>
        <v>8.9</v>
      </c>
      <c r="F13" s="10" t="s">
        <v>50</v>
      </c>
      <c r="G13" s="1" t="s">
        <v>86</v>
      </c>
      <c r="H13" s="3" t="s">
        <v>36</v>
      </c>
      <c r="I13" s="3" t="s">
        <v>38</v>
      </c>
    </row>
    <row r="14" spans="1:11" x14ac:dyDescent="0.2">
      <c r="B14" s="2" t="s">
        <v>12</v>
      </c>
      <c r="C14" s="13">
        <v>40.200000000000003</v>
      </c>
      <c r="D14" s="3">
        <f t="shared" ref="D14:D15" si="1">E14/$E$12</f>
        <v>0.48499999999999999</v>
      </c>
      <c r="E14" s="3">
        <f t="shared" si="0"/>
        <v>9.6999999999999993</v>
      </c>
      <c r="F14" s="10" t="s">
        <v>63</v>
      </c>
      <c r="G14" s="1" t="s">
        <v>86</v>
      </c>
      <c r="I14" s="3" t="s">
        <v>38</v>
      </c>
    </row>
    <row r="15" spans="1:11" x14ac:dyDescent="0.2">
      <c r="B15" s="2" t="s">
        <v>13</v>
      </c>
      <c r="C15" s="13">
        <v>32.299999999999997</v>
      </c>
      <c r="D15" s="3">
        <f t="shared" si="1"/>
        <v>6.8999999999999992E-2</v>
      </c>
      <c r="E15" s="3">
        <f t="shared" si="0"/>
        <v>1.38</v>
      </c>
      <c r="F15" s="11" t="s">
        <v>51</v>
      </c>
      <c r="G15" s="1" t="s">
        <v>86</v>
      </c>
      <c r="H15" s="9" t="s">
        <v>100</v>
      </c>
      <c r="I15" s="3" t="s">
        <v>38</v>
      </c>
    </row>
    <row r="16" spans="1:11" x14ac:dyDescent="0.2">
      <c r="B16" s="2" t="s">
        <v>14</v>
      </c>
      <c r="C16" s="3">
        <v>21.9</v>
      </c>
      <c r="F16" s="3" t="s">
        <v>14</v>
      </c>
    </row>
    <row r="17" spans="1:11" x14ac:dyDescent="0.2">
      <c r="B17" s="1" t="s">
        <v>15</v>
      </c>
      <c r="C17" s="3">
        <v>36.6</v>
      </c>
      <c r="F17" s="12" t="s">
        <v>64</v>
      </c>
      <c r="G17" s="38"/>
      <c r="H17" s="3" t="s">
        <v>39</v>
      </c>
      <c r="I17" s="3" t="s">
        <v>40</v>
      </c>
    </row>
    <row r="18" spans="1:11" x14ac:dyDescent="0.2">
      <c r="B18" s="2" t="s">
        <v>16</v>
      </c>
      <c r="C18" s="3">
        <v>23.1</v>
      </c>
      <c r="F18" s="3" t="s">
        <v>47</v>
      </c>
      <c r="H18" s="9" t="s">
        <v>98</v>
      </c>
      <c r="I18" s="3" t="s">
        <v>40</v>
      </c>
    </row>
    <row r="19" spans="1:11" x14ac:dyDescent="0.2">
      <c r="B19" s="1" t="s">
        <v>17</v>
      </c>
      <c r="C19" s="3">
        <v>20.2</v>
      </c>
      <c r="F19" s="12" t="s">
        <v>65</v>
      </c>
      <c r="G19" s="38"/>
      <c r="H19" s="9" t="s">
        <v>99</v>
      </c>
      <c r="I19" s="3" t="s">
        <v>40</v>
      </c>
    </row>
    <row r="20" spans="1:11" x14ac:dyDescent="0.2">
      <c r="B20" s="2" t="s">
        <v>18</v>
      </c>
      <c r="C20" s="3">
        <v>25.2</v>
      </c>
      <c r="F20" s="9" t="s">
        <v>62</v>
      </c>
      <c r="G20" s="1"/>
      <c r="I20" s="3" t="s">
        <v>40</v>
      </c>
    </row>
    <row r="21" spans="1:11" x14ac:dyDescent="0.2">
      <c r="B21" s="1" t="s">
        <v>19</v>
      </c>
      <c r="C21" s="3">
        <v>21.4</v>
      </c>
      <c r="F21" s="12" t="s">
        <v>66</v>
      </c>
      <c r="G21" s="1"/>
      <c r="J21" s="3" t="s">
        <v>0</v>
      </c>
      <c r="K21" s="9" t="s">
        <v>69</v>
      </c>
    </row>
    <row r="22" spans="1:11" x14ac:dyDescent="0.2">
      <c r="B22" s="2" t="s">
        <v>20</v>
      </c>
      <c r="C22" s="3">
        <v>22.2</v>
      </c>
      <c r="F22" s="3" t="s">
        <v>48</v>
      </c>
      <c r="H22" s="3" t="s">
        <v>48</v>
      </c>
    </row>
    <row r="23" spans="1:11" x14ac:dyDescent="0.2">
      <c r="A23" s="6" t="s">
        <v>21</v>
      </c>
      <c r="C23" s="23">
        <f>(C24*D24+C25*D25+C26*D26+C27*D27)/(D24+D25+D26+D27)</f>
        <v>25.287332612492722</v>
      </c>
      <c r="D23" s="3">
        <f>E23/$E$23</f>
        <v>1</v>
      </c>
      <c r="E23" s="3">
        <f>D61</f>
        <v>1.3567</v>
      </c>
      <c r="F23" s="1" t="s">
        <v>128</v>
      </c>
      <c r="G23" s="1" t="s">
        <v>142</v>
      </c>
    </row>
    <row r="24" spans="1:11" x14ac:dyDescent="0.2">
      <c r="B24" s="2" t="s">
        <v>22</v>
      </c>
      <c r="C24" s="13">
        <v>31.4</v>
      </c>
      <c r="D24" s="3">
        <f>E24/$E$23</f>
        <v>8.4764502100685493E-2</v>
      </c>
      <c r="E24" s="3">
        <f>D59</f>
        <v>0.115</v>
      </c>
      <c r="F24" s="10" t="s">
        <v>52</v>
      </c>
      <c r="G24" s="2" t="s">
        <v>140</v>
      </c>
      <c r="H24" s="9" t="s">
        <v>96</v>
      </c>
      <c r="I24" s="3" t="s">
        <v>43</v>
      </c>
    </row>
    <row r="25" spans="1:11" x14ac:dyDescent="0.2">
      <c r="B25" s="2" t="s">
        <v>23</v>
      </c>
      <c r="C25" s="13">
        <v>24.4</v>
      </c>
      <c r="D25" s="3">
        <f>E25/$E$23</f>
        <v>0.10761406353652243</v>
      </c>
      <c r="E25" s="3">
        <f>D60</f>
        <v>0.14599999999999999</v>
      </c>
      <c r="F25" s="11" t="s">
        <v>52</v>
      </c>
      <c r="G25" s="2" t="s">
        <v>140</v>
      </c>
      <c r="H25" s="9" t="s">
        <v>96</v>
      </c>
      <c r="I25" s="3" t="s">
        <v>43</v>
      </c>
    </row>
    <row r="26" spans="1:11" x14ac:dyDescent="0.2">
      <c r="B26" s="2" t="s">
        <v>24</v>
      </c>
      <c r="C26" s="13">
        <v>22.8</v>
      </c>
      <c r="D26" s="3">
        <f>E26/$E$23</f>
        <v>0.53490086238667356</v>
      </c>
      <c r="E26" s="3">
        <f>D57</f>
        <v>0.72570000000000001</v>
      </c>
      <c r="F26" s="11" t="s">
        <v>52</v>
      </c>
      <c r="G26" s="1" t="s">
        <v>132</v>
      </c>
      <c r="I26" s="3" t="s">
        <v>43</v>
      </c>
    </row>
    <row r="27" spans="1:11" x14ac:dyDescent="0.2">
      <c r="B27" s="2" t="s">
        <v>25</v>
      </c>
      <c r="C27" s="13">
        <v>31</v>
      </c>
      <c r="D27" s="3">
        <f>E27/$E$23</f>
        <v>0.1589150143731112</v>
      </c>
      <c r="E27" s="3">
        <f>D58</f>
        <v>0.21559999999999999</v>
      </c>
      <c r="F27" s="11" t="s">
        <v>52</v>
      </c>
      <c r="G27" s="1" t="s">
        <v>132</v>
      </c>
      <c r="H27" s="9" t="s">
        <v>95</v>
      </c>
      <c r="I27" s="3" t="s">
        <v>43</v>
      </c>
    </row>
    <row r="28" spans="1:11" x14ac:dyDescent="0.2">
      <c r="A28" s="6" t="s">
        <v>26</v>
      </c>
      <c r="C28" s="23">
        <f>(C29*D29+C30*D30+C31*D31)/(D29+D30+D31)</f>
        <v>29.767111499324457</v>
      </c>
      <c r="D28" s="3">
        <f>SUM(D29:D31)+D72/D73</f>
        <v>1.0913842329545453</v>
      </c>
      <c r="E28" s="3">
        <f>D86</f>
        <v>140.80000000000001</v>
      </c>
      <c r="F28" s="28" t="s">
        <v>127</v>
      </c>
      <c r="G28" s="1" t="s">
        <v>143</v>
      </c>
    </row>
    <row r="29" spans="1:11" x14ac:dyDescent="0.2">
      <c r="B29" s="2" t="s">
        <v>27</v>
      </c>
      <c r="C29" s="13">
        <v>29.8</v>
      </c>
      <c r="D29" s="3">
        <f>D84</f>
        <v>0.56178686759956942</v>
      </c>
      <c r="F29" s="10" t="s">
        <v>56</v>
      </c>
      <c r="G29" s="1" t="s">
        <v>145</v>
      </c>
      <c r="I29" s="9" t="s">
        <v>57</v>
      </c>
      <c r="K29" s="9" t="s">
        <v>71</v>
      </c>
    </row>
    <row r="30" spans="1:11" x14ac:dyDescent="0.2">
      <c r="B30" s="2" t="s">
        <v>28</v>
      </c>
      <c r="C30" s="13">
        <v>30.1</v>
      </c>
      <c r="D30" s="3">
        <f>E30/E28</f>
        <v>8.3096590909090898E-2</v>
      </c>
      <c r="E30" s="3">
        <f>D87</f>
        <v>11.7</v>
      </c>
      <c r="F30" s="10" t="s">
        <v>56</v>
      </c>
      <c r="G30" s="1" t="s">
        <v>124</v>
      </c>
      <c r="I30" s="9" t="s">
        <v>57</v>
      </c>
    </row>
    <row r="31" spans="1:11" x14ac:dyDescent="0.2">
      <c r="B31" s="1" t="s">
        <v>29</v>
      </c>
      <c r="C31" s="13">
        <v>24.2</v>
      </c>
      <c r="D31" s="3">
        <f>E31/E28</f>
        <v>8.287642045454546E-3</v>
      </c>
      <c r="E31" s="3">
        <f>D89</f>
        <v>1.1669</v>
      </c>
      <c r="F31" s="10" t="s">
        <v>56</v>
      </c>
      <c r="G31" s="1" t="s">
        <v>144</v>
      </c>
      <c r="H31" s="9" t="s">
        <v>122</v>
      </c>
      <c r="I31" s="9" t="s">
        <v>57</v>
      </c>
    </row>
    <row r="32" spans="1:11" x14ac:dyDescent="0.2">
      <c r="A32" s="6" t="s">
        <v>30</v>
      </c>
    </row>
    <row r="33" spans="2:10" x14ac:dyDescent="0.2">
      <c r="B33" s="2" t="s">
        <v>31</v>
      </c>
      <c r="C33" s="3">
        <v>12.3</v>
      </c>
      <c r="F33" s="9" t="s">
        <v>58</v>
      </c>
      <c r="G33" s="1"/>
      <c r="H33" s="3" t="s">
        <v>1</v>
      </c>
      <c r="I33" s="24" t="s">
        <v>94</v>
      </c>
    </row>
    <row r="34" spans="2:10" x14ac:dyDescent="0.2">
      <c r="B34" s="2" t="s">
        <v>32</v>
      </c>
      <c r="C34" s="3">
        <v>25.5</v>
      </c>
      <c r="F34" s="3" t="s">
        <v>46</v>
      </c>
      <c r="H34" s="9" t="s">
        <v>97</v>
      </c>
    </row>
    <row r="36" spans="2:10" x14ac:dyDescent="0.2">
      <c r="C36" s="22" t="s">
        <v>90</v>
      </c>
    </row>
    <row r="41" spans="2:10" x14ac:dyDescent="0.2">
      <c r="B41" s="1" t="s">
        <v>74</v>
      </c>
      <c r="J41" s="9"/>
    </row>
    <row r="42" spans="2:10" x14ac:dyDescent="0.2">
      <c r="B42" s="15" t="s">
        <v>45</v>
      </c>
      <c r="C42" s="15" t="s">
        <v>81</v>
      </c>
      <c r="D42" s="15"/>
      <c r="E42" s="15"/>
      <c r="F42" s="15"/>
      <c r="G42" s="1"/>
      <c r="H42" s="9"/>
    </row>
    <row r="43" spans="2:10" ht="13.2" thickBot="1" x14ac:dyDescent="0.25">
      <c r="C43" s="20" t="s">
        <v>80</v>
      </c>
    </row>
    <row r="44" spans="2:10" ht="15.6" x14ac:dyDescent="0.2">
      <c r="C44" s="31" t="s">
        <v>82</v>
      </c>
      <c r="D44" s="34">
        <v>20</v>
      </c>
    </row>
    <row r="45" spans="2:10" ht="16.2" thickBot="1" x14ac:dyDescent="0.25">
      <c r="C45" s="32" t="s">
        <v>85</v>
      </c>
      <c r="D45" s="35">
        <v>8.9</v>
      </c>
      <c r="G45" s="39"/>
      <c r="H45" s="33"/>
    </row>
    <row r="46" spans="2:10" ht="15.6" x14ac:dyDescent="0.2">
      <c r="C46" s="32" t="s">
        <v>84</v>
      </c>
      <c r="D46" s="35">
        <v>9.6999999999999993</v>
      </c>
    </row>
    <row r="47" spans="2:10" ht="15.6" x14ac:dyDescent="0.2">
      <c r="C47" s="32" t="s">
        <v>83</v>
      </c>
      <c r="D47" s="35">
        <v>1.38</v>
      </c>
    </row>
    <row r="49" spans="2:5" x14ac:dyDescent="0.2">
      <c r="B49" s="16" t="s">
        <v>49</v>
      </c>
      <c r="C49" s="17" t="s">
        <v>131</v>
      </c>
    </row>
    <row r="50" spans="2:5" x14ac:dyDescent="0.2">
      <c r="B50" s="1" t="s">
        <v>87</v>
      </c>
      <c r="C50" s="19" t="s">
        <v>130</v>
      </c>
    </row>
    <row r="52" spans="2:5" x14ac:dyDescent="0.2">
      <c r="C52" s="17" t="s">
        <v>78</v>
      </c>
    </row>
    <row r="53" spans="2:5" x14ac:dyDescent="0.2">
      <c r="C53" s="19" t="s">
        <v>79</v>
      </c>
    </row>
    <row r="55" spans="2:5" ht="13.8" x14ac:dyDescent="0.2">
      <c r="B55" s="1" t="s">
        <v>132</v>
      </c>
      <c r="D55" s="9" t="s">
        <v>101</v>
      </c>
      <c r="E55" s="29" t="s">
        <v>133</v>
      </c>
    </row>
    <row r="56" spans="2:5" x14ac:dyDescent="0.2">
      <c r="B56" s="1" t="s">
        <v>136</v>
      </c>
      <c r="C56" s="9" t="s">
        <v>135</v>
      </c>
      <c r="D56" s="3">
        <f>E56/10^3</f>
        <v>0.15440000000000001</v>
      </c>
      <c r="E56" s="3">
        <v>154.4</v>
      </c>
    </row>
    <row r="57" spans="2:5" x14ac:dyDescent="0.2">
      <c r="C57" s="9" t="s">
        <v>24</v>
      </c>
      <c r="D57" s="30">
        <f t="shared" ref="D57:D61" si="2">E57/10^3</f>
        <v>0.72570000000000001</v>
      </c>
      <c r="E57" s="3">
        <v>725.7</v>
      </c>
    </row>
    <row r="58" spans="2:5" x14ac:dyDescent="0.2">
      <c r="C58" s="9" t="s">
        <v>134</v>
      </c>
      <c r="D58" s="30">
        <f t="shared" si="2"/>
        <v>0.21559999999999999</v>
      </c>
      <c r="E58" s="3">
        <v>215.6</v>
      </c>
    </row>
    <row r="59" spans="2:5" x14ac:dyDescent="0.2">
      <c r="B59" s="1" t="s">
        <v>140</v>
      </c>
      <c r="C59" s="9" t="s">
        <v>137</v>
      </c>
      <c r="D59" s="30">
        <f>E59/10^3</f>
        <v>0.115</v>
      </c>
      <c r="E59" s="3">
        <f>60+55</f>
        <v>115</v>
      </c>
    </row>
    <row r="60" spans="2:5" x14ac:dyDescent="0.2">
      <c r="C60" s="9" t="s">
        <v>138</v>
      </c>
      <c r="D60" s="30">
        <f>E60/10^3</f>
        <v>0.14599999999999999</v>
      </c>
      <c r="E60" s="3">
        <f>71+75</f>
        <v>146</v>
      </c>
    </row>
    <row r="61" spans="2:5" x14ac:dyDescent="0.2">
      <c r="B61" s="8" t="s">
        <v>139</v>
      </c>
      <c r="C61" s="26"/>
      <c r="D61" s="36">
        <f t="shared" si="2"/>
        <v>1.3567</v>
      </c>
      <c r="E61" s="26">
        <f>SUM(E56:E60)</f>
        <v>1356.7</v>
      </c>
    </row>
    <row r="62" spans="2:5" x14ac:dyDescent="0.2">
      <c r="B62" s="3"/>
    </row>
    <row r="63" spans="2:5" x14ac:dyDescent="0.2">
      <c r="B63" s="18" t="s">
        <v>75</v>
      </c>
      <c r="C63" s="18" t="s">
        <v>88</v>
      </c>
    </row>
    <row r="65" spans="2:4" x14ac:dyDescent="0.2">
      <c r="B65" s="9" t="s">
        <v>123</v>
      </c>
      <c r="C65" s="9" t="s">
        <v>141</v>
      </c>
    </row>
    <row r="66" spans="2:4" x14ac:dyDescent="0.2">
      <c r="B66" s="27" t="s">
        <v>117</v>
      </c>
    </row>
    <row r="67" spans="2:4" x14ac:dyDescent="0.2">
      <c r="C67" s="3" t="s">
        <v>112</v>
      </c>
      <c r="D67" s="3">
        <v>26.07</v>
      </c>
    </row>
    <row r="68" spans="2:4" x14ac:dyDescent="0.2">
      <c r="C68" s="3" t="s">
        <v>113</v>
      </c>
      <c r="D68" s="3">
        <v>26.12</v>
      </c>
    </row>
    <row r="69" spans="2:4" x14ac:dyDescent="0.2">
      <c r="B69" s="26" t="s">
        <v>119</v>
      </c>
      <c r="D69" s="26">
        <f>SUM(D67:D68)</f>
        <v>52.19</v>
      </c>
    </row>
    <row r="70" spans="2:4" x14ac:dyDescent="0.2">
      <c r="C70" s="3" t="s">
        <v>114</v>
      </c>
      <c r="D70" s="3">
        <v>20.350000000000001</v>
      </c>
    </row>
    <row r="71" spans="2:4" x14ac:dyDescent="0.2">
      <c r="C71" s="3" t="s">
        <v>115</v>
      </c>
      <c r="D71" s="3">
        <v>20.36</v>
      </c>
    </row>
    <row r="72" spans="2:4" x14ac:dyDescent="0.2">
      <c r="B72" s="26" t="s">
        <v>118</v>
      </c>
      <c r="D72" s="26">
        <f>SUM(D70:D71)</f>
        <v>40.71</v>
      </c>
    </row>
    <row r="73" spans="2:4" x14ac:dyDescent="0.2">
      <c r="B73" s="26" t="s">
        <v>111</v>
      </c>
      <c r="D73" s="26">
        <f>SUM(D69+D72)</f>
        <v>92.9</v>
      </c>
    </row>
    <row r="74" spans="2:4" x14ac:dyDescent="0.2">
      <c r="C74" s="3" t="s">
        <v>102</v>
      </c>
      <c r="D74" s="3">
        <v>1.89</v>
      </c>
    </row>
    <row r="75" spans="2:4" x14ac:dyDescent="0.2">
      <c r="C75" s="3" t="s">
        <v>103</v>
      </c>
      <c r="D75" s="3">
        <v>1.22</v>
      </c>
    </row>
    <row r="76" spans="2:4" x14ac:dyDescent="0.2">
      <c r="C76" s="3" t="s">
        <v>104</v>
      </c>
      <c r="D76" s="3">
        <v>0.37</v>
      </c>
    </row>
    <row r="77" spans="2:4" x14ac:dyDescent="0.2">
      <c r="C77" s="3" t="s">
        <v>105</v>
      </c>
      <c r="D77" s="3">
        <v>0.47</v>
      </c>
    </row>
    <row r="78" spans="2:4" x14ac:dyDescent="0.2">
      <c r="C78" s="3" t="s">
        <v>106</v>
      </c>
      <c r="D78" s="3">
        <v>2.4900000000000002</v>
      </c>
    </row>
    <row r="79" spans="2:4" x14ac:dyDescent="0.2">
      <c r="C79" s="3" t="s">
        <v>107</v>
      </c>
      <c r="D79" s="3">
        <v>1.66</v>
      </c>
    </row>
    <row r="80" spans="2:4" x14ac:dyDescent="0.2">
      <c r="C80" s="3" t="s">
        <v>108</v>
      </c>
      <c r="D80" s="3">
        <v>0.56999999999999995</v>
      </c>
    </row>
    <row r="81" spans="2:5" x14ac:dyDescent="0.2">
      <c r="C81" s="3" t="s">
        <v>109</v>
      </c>
      <c r="D81" s="3">
        <v>0.65</v>
      </c>
    </row>
    <row r="82" spans="2:5" x14ac:dyDescent="0.2">
      <c r="B82" s="26" t="s">
        <v>110</v>
      </c>
      <c r="D82" s="36">
        <f>SUM(D74:D81)</f>
        <v>9.32</v>
      </c>
    </row>
    <row r="83" spans="2:5" x14ac:dyDescent="0.2">
      <c r="B83" s="13" t="s">
        <v>116</v>
      </c>
      <c r="D83" s="13">
        <f>D82/D73</f>
        <v>0.10032292787944025</v>
      </c>
    </row>
    <row r="84" spans="2:5" x14ac:dyDescent="0.2">
      <c r="B84" s="13" t="s">
        <v>120</v>
      </c>
      <c r="D84" s="40">
        <f>D69/D73</f>
        <v>0.56178686759956942</v>
      </c>
    </row>
    <row r="85" spans="2:5" ht="13.8" x14ac:dyDescent="0.2">
      <c r="B85" s="9" t="s">
        <v>124</v>
      </c>
      <c r="C85" s="9" t="s">
        <v>121</v>
      </c>
      <c r="D85" s="9" t="s">
        <v>101</v>
      </c>
      <c r="E85" s="29" t="s">
        <v>133</v>
      </c>
    </row>
    <row r="86" spans="2:5" x14ac:dyDescent="0.2">
      <c r="C86" s="3" t="s">
        <v>26</v>
      </c>
      <c r="D86" s="25">
        <v>140.80000000000001</v>
      </c>
    </row>
    <row r="87" spans="2:5" x14ac:dyDescent="0.2">
      <c r="C87" s="3" t="s">
        <v>28</v>
      </c>
      <c r="D87" s="3">
        <v>11.7</v>
      </c>
    </row>
    <row r="88" spans="2:5" x14ac:dyDescent="0.2">
      <c r="B88" s="13" t="s">
        <v>116</v>
      </c>
      <c r="D88" s="40">
        <f>D87/D86</f>
        <v>8.3096590909090898E-2</v>
      </c>
    </row>
    <row r="89" spans="2:5" x14ac:dyDescent="0.2">
      <c r="B89" s="1" t="s">
        <v>125</v>
      </c>
      <c r="C89" s="24" t="s">
        <v>122</v>
      </c>
      <c r="D89" s="9">
        <f>E89/(10^3)</f>
        <v>1.1669</v>
      </c>
      <c r="E89" s="37">
        <v>1166.9000000000001</v>
      </c>
    </row>
    <row r="90" spans="2:5" x14ac:dyDescent="0.2">
      <c r="B90" s="13" t="s">
        <v>126</v>
      </c>
      <c r="D90" s="13">
        <f>D89/D86</f>
        <v>8.287642045454546E-3</v>
      </c>
    </row>
  </sheetData>
  <phoneticPr fontId="3" type="noConversion"/>
  <hyperlinks>
    <hyperlink ref="C50" r:id="rId1" xr:uid="{00000000-0004-0000-0000-000000000000}"/>
    <hyperlink ref="C53" r:id="rId2" location="h3" xr:uid="{00000000-0004-0000-0000-000001000000}"/>
    <hyperlink ref="C43" r:id="rId3" xr:uid="{00000000-0004-0000-0000-000002000000}"/>
    <hyperlink ref="B66" r:id="rId4" xr:uid="{00000000-0004-0000-0000-000003000000}"/>
  </hyperlinks>
  <pageMargins left="0.75" right="0.75" top="1" bottom="1" header="0.5" footer="0.5"/>
  <pageSetup paperSize="10" orientation="portrait" horizontalDpi="4294967292" verticalDpi="4294967292" r:id="rId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8"/>
  <sheetViews>
    <sheetView tabSelected="1" topLeftCell="A19" workbookViewId="0">
      <selection activeCell="E39" sqref="E39"/>
    </sheetView>
  </sheetViews>
  <sheetFormatPr defaultColWidth="10.81640625" defaultRowHeight="12.6" x14ac:dyDescent="0.2"/>
  <cols>
    <col min="1" max="1" width="4" customWidth="1"/>
    <col min="2" max="2" width="24.36328125" style="54" customWidth="1"/>
    <col min="3" max="3" width="24.36328125" style="48" customWidth="1"/>
    <col min="4" max="4" width="13.36328125" style="42" customWidth="1"/>
    <col min="5" max="5" width="19" style="42" customWidth="1"/>
    <col min="6" max="6" width="9.36328125" style="52" customWidth="1"/>
    <col min="7" max="7" width="8" customWidth="1"/>
    <col min="8" max="8" width="9.36328125" customWidth="1"/>
    <col min="9" max="9" width="6.6328125" style="52" customWidth="1"/>
    <col min="10" max="10" width="10.36328125" customWidth="1"/>
    <col min="11" max="11" width="15.6328125" style="52" customWidth="1"/>
    <col min="12" max="12" width="16" customWidth="1"/>
    <col min="13" max="13" width="7.1796875" customWidth="1"/>
    <col min="14" max="14" width="11" customWidth="1"/>
    <col min="15" max="15" width="11" style="48" customWidth="1"/>
    <col min="16" max="16" width="12.6328125" customWidth="1"/>
    <col min="17" max="17" width="10.81640625" style="48" customWidth="1"/>
    <col min="18" max="18" width="10.81640625" customWidth="1"/>
    <col min="19" max="19" width="10.81640625" style="48" customWidth="1"/>
    <col min="20" max="20" width="10.81640625" customWidth="1"/>
    <col min="21" max="21" width="10.81640625" style="48"/>
    <col min="22" max="22" width="10.81640625" style="54"/>
    <col min="23" max="23" width="10.81640625" style="48"/>
    <col min="24" max="24" width="10.81640625" style="54"/>
    <col min="25" max="25" width="8" style="54" customWidth="1"/>
  </cols>
  <sheetData>
    <row r="1" spans="1:50" x14ac:dyDescent="0.2">
      <c r="B1" s="42" t="s">
        <v>72</v>
      </c>
      <c r="C1" s="29" t="s">
        <v>72</v>
      </c>
      <c r="F1" s="52" t="s">
        <v>294</v>
      </c>
      <c r="G1" s="29" t="s">
        <v>159</v>
      </c>
      <c r="L1" t="s">
        <v>172</v>
      </c>
      <c r="N1">
        <v>1330000</v>
      </c>
      <c r="O1" s="51" t="s">
        <v>162</v>
      </c>
      <c r="AA1" s="56" t="s">
        <v>261</v>
      </c>
      <c r="AB1" s="57"/>
      <c r="AC1" s="57"/>
      <c r="AD1" s="56" t="s">
        <v>260</v>
      </c>
      <c r="AE1" s="56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6" t="s">
        <v>288</v>
      </c>
      <c r="AX1" s="29" t="s">
        <v>284</v>
      </c>
    </row>
    <row r="2" spans="1:50" x14ac:dyDescent="0.2">
      <c r="B2" s="54" t="s">
        <v>34</v>
      </c>
      <c r="C2" t="s">
        <v>34</v>
      </c>
      <c r="G2" t="s">
        <v>175</v>
      </c>
      <c r="H2" s="29"/>
      <c r="I2" s="52" t="s">
        <v>176</v>
      </c>
      <c r="M2" t="s">
        <v>172</v>
      </c>
      <c r="N2" t="s">
        <v>172</v>
      </c>
      <c r="O2" s="48" t="s">
        <v>178</v>
      </c>
      <c r="Q2" s="49" t="s">
        <v>184</v>
      </c>
      <c r="S2" s="49" t="s">
        <v>185</v>
      </c>
      <c r="U2" s="49" t="s">
        <v>203</v>
      </c>
      <c r="V2" s="45"/>
      <c r="W2" s="49" t="s">
        <v>285</v>
      </c>
      <c r="X2" s="45"/>
      <c r="AA2" s="57"/>
      <c r="AB2" s="57"/>
      <c r="AC2" s="57"/>
      <c r="AD2" s="56" t="s">
        <v>250</v>
      </c>
      <c r="AE2" s="56"/>
      <c r="AF2" s="57"/>
      <c r="AG2" s="56" t="s">
        <v>252</v>
      </c>
      <c r="AH2" s="56"/>
      <c r="AI2" s="57"/>
      <c r="AJ2" s="56" t="s">
        <v>254</v>
      </c>
      <c r="AK2" s="56"/>
      <c r="AL2" s="57"/>
      <c r="AM2" s="56" t="s">
        <v>256</v>
      </c>
      <c r="AN2" s="56"/>
      <c r="AO2" s="57"/>
      <c r="AP2" s="56" t="s">
        <v>258</v>
      </c>
      <c r="AQ2" s="56"/>
      <c r="AR2" s="57"/>
      <c r="AS2" s="56"/>
    </row>
    <row r="3" spans="1:50" s="44" customFormat="1" x14ac:dyDescent="0.2">
      <c r="B3" s="45" t="s">
        <v>2</v>
      </c>
      <c r="C3" s="49" t="s">
        <v>2</v>
      </c>
      <c r="D3" s="45" t="s">
        <v>150</v>
      </c>
      <c r="E3" s="45" t="s">
        <v>152</v>
      </c>
      <c r="F3" s="53" t="s">
        <v>181</v>
      </c>
      <c r="G3" s="44" t="s">
        <v>160</v>
      </c>
      <c r="H3" s="44" t="s">
        <v>161</v>
      </c>
      <c r="I3" s="53" t="s">
        <v>158</v>
      </c>
      <c r="J3" s="44" t="s">
        <v>161</v>
      </c>
      <c r="K3" s="53" t="s">
        <v>182</v>
      </c>
      <c r="L3" s="44" t="s">
        <v>174</v>
      </c>
      <c r="M3" s="44" t="s">
        <v>173</v>
      </c>
      <c r="N3" s="44" t="s">
        <v>171</v>
      </c>
      <c r="O3" s="49" t="s">
        <v>214</v>
      </c>
      <c r="Q3" s="49" t="s">
        <v>217</v>
      </c>
      <c r="R3" s="44" t="s">
        <v>186</v>
      </c>
      <c r="S3" s="49" t="s">
        <v>216</v>
      </c>
      <c r="T3" s="44" t="s">
        <v>199</v>
      </c>
      <c r="U3" s="49" t="s">
        <v>215</v>
      </c>
      <c r="V3" s="45"/>
      <c r="W3" s="49" t="s">
        <v>287</v>
      </c>
      <c r="X3" s="45"/>
      <c r="Y3" s="45" t="s">
        <v>202</v>
      </c>
      <c r="AA3" s="58"/>
      <c r="AB3" s="58" t="s">
        <v>279</v>
      </c>
      <c r="AC3" s="58" t="s">
        <v>271</v>
      </c>
      <c r="AD3" s="58" t="s">
        <v>251</v>
      </c>
      <c r="AE3" s="58" t="s">
        <v>272</v>
      </c>
      <c r="AF3" s="58" t="s">
        <v>266</v>
      </c>
      <c r="AG3" s="58" t="s">
        <v>253</v>
      </c>
      <c r="AH3" s="58" t="s">
        <v>273</v>
      </c>
      <c r="AI3" s="58" t="s">
        <v>267</v>
      </c>
      <c r="AJ3" s="58" t="s">
        <v>255</v>
      </c>
      <c r="AK3" s="58" t="s">
        <v>274</v>
      </c>
      <c r="AL3" s="58" t="s">
        <v>268</v>
      </c>
      <c r="AM3" s="58" t="s">
        <v>257</v>
      </c>
      <c r="AN3" s="58" t="s">
        <v>275</v>
      </c>
      <c r="AO3" s="58" t="s">
        <v>269</v>
      </c>
      <c r="AP3" s="58" t="s">
        <v>259</v>
      </c>
      <c r="AQ3" s="58" t="s">
        <v>276</v>
      </c>
      <c r="AR3" s="58" t="s">
        <v>270</v>
      </c>
      <c r="AS3" s="58" t="s">
        <v>289</v>
      </c>
    </row>
    <row r="4" spans="1:50" x14ac:dyDescent="0.2">
      <c r="A4">
        <v>1</v>
      </c>
      <c r="B4" s="55" t="s">
        <v>3</v>
      </c>
      <c r="C4" s="50" t="s">
        <v>218</v>
      </c>
      <c r="D4" s="42" t="s">
        <v>183</v>
      </c>
      <c r="E4" s="42" t="s">
        <v>151</v>
      </c>
      <c r="F4" s="52">
        <v>33.5</v>
      </c>
      <c r="G4">
        <v>-0.75231000000000003</v>
      </c>
      <c r="H4" s="47">
        <v>4.9169999999999997E-6</v>
      </c>
      <c r="I4" s="52">
        <v>0.98807599999999995</v>
      </c>
      <c r="J4" t="s">
        <v>177</v>
      </c>
      <c r="K4" s="52">
        <v>0.75700000000000001</v>
      </c>
      <c r="L4">
        <f>I4*LN($N$1)+G4</f>
        <v>13.180242878597577</v>
      </c>
      <c r="M4">
        <f>EXP(L4)</f>
        <v>529793.65450550453</v>
      </c>
      <c r="N4">
        <v>584706</v>
      </c>
      <c r="O4" s="48">
        <f>(N4-M4)/N4</f>
        <v>9.3914455289488177E-2</v>
      </c>
      <c r="P4" t="s">
        <v>163</v>
      </c>
      <c r="Q4" s="48">
        <v>-0.77900000000000003</v>
      </c>
      <c r="R4" t="s">
        <v>188</v>
      </c>
      <c r="S4" s="48">
        <v>-24.7</v>
      </c>
      <c r="T4" t="s">
        <v>198</v>
      </c>
      <c r="U4" s="48">
        <v>-1.1100000000000001</v>
      </c>
      <c r="Y4" s="54" t="s">
        <v>213</v>
      </c>
      <c r="AA4" s="56" t="s">
        <v>277</v>
      </c>
      <c r="AB4">
        <v>218.21556573017696</v>
      </c>
      <c r="AC4" s="54">
        <v>36.324428667039605</v>
      </c>
      <c r="AD4" s="60">
        <v>17773739707.073635</v>
      </c>
      <c r="AE4" s="60">
        <v>1972573186.237494</v>
      </c>
      <c r="AF4" s="60">
        <f>AD4/AB4</f>
        <v>81450375.21773687</v>
      </c>
      <c r="AG4" s="54">
        <v>19147299766.637741</v>
      </c>
      <c r="AH4" s="60">
        <v>2808329062.3968444</v>
      </c>
      <c r="AI4" s="60">
        <f>AG4/AB4</f>
        <v>87744885.212786943</v>
      </c>
      <c r="AJ4" s="54">
        <v>5297233624.695055</v>
      </c>
      <c r="AK4" s="60">
        <v>1022996357.4097927</v>
      </c>
      <c r="AL4" s="60">
        <f>AJ4/AB4</f>
        <v>24275232.644242585</v>
      </c>
      <c r="AM4" s="54">
        <v>10476759772.231333</v>
      </c>
      <c r="AN4" s="60">
        <v>2297936602.0206213</v>
      </c>
      <c r="AO4" s="60">
        <f>AM4/AB4</f>
        <v>48011056.118635558</v>
      </c>
      <c r="AP4" s="54">
        <v>2478686957.6939759</v>
      </c>
      <c r="AQ4" s="60">
        <v>647058301.71335638</v>
      </c>
      <c r="AR4" s="60">
        <f>AP4/AB4</f>
        <v>11358891.605188543</v>
      </c>
      <c r="AS4" s="47">
        <f>AI4/AF4</f>
        <v>1.0772803069135446</v>
      </c>
    </row>
    <row r="5" spans="1:50" x14ac:dyDescent="0.2">
      <c r="A5">
        <v>2</v>
      </c>
      <c r="B5" s="54" t="s">
        <v>4</v>
      </c>
      <c r="C5" s="48" t="s">
        <v>219</v>
      </c>
      <c r="F5" s="52">
        <v>35.299999999999997</v>
      </c>
      <c r="U5" s="48">
        <v>-0.97</v>
      </c>
      <c r="Y5" s="54" t="s">
        <v>204</v>
      </c>
      <c r="AA5" s="56" t="s">
        <v>262</v>
      </c>
      <c r="AB5">
        <v>86.242784898612172</v>
      </c>
      <c r="AC5" s="54">
        <v>17.261492230693193</v>
      </c>
      <c r="AD5" s="60">
        <v>6064742323.427454</v>
      </c>
      <c r="AE5" s="60">
        <v>361435897.15667528</v>
      </c>
      <c r="AF5" s="60">
        <f>AD5/AB5</f>
        <v>70321735.673972294</v>
      </c>
      <c r="AG5" s="60">
        <v>7382117345.1554356</v>
      </c>
      <c r="AH5" s="60">
        <v>1391502992.7009044</v>
      </c>
      <c r="AI5" s="60">
        <f>AG5/AB5</f>
        <v>85596926.790269151</v>
      </c>
      <c r="AJ5" s="60">
        <v>2452737147.3515458</v>
      </c>
      <c r="AK5" s="60">
        <v>1006961786.429889</v>
      </c>
      <c r="AL5" s="60">
        <f>AJ5/AB5</f>
        <v>28439911.237038631</v>
      </c>
      <c r="AM5" s="60">
        <v>3902967687.5285921</v>
      </c>
      <c r="AN5" s="60">
        <v>1088820959.3606582</v>
      </c>
      <c r="AO5" s="60">
        <f>AM5/AB5</f>
        <v>45255585.05696398</v>
      </c>
      <c r="AP5" s="60">
        <v>1055180946.0139092</v>
      </c>
      <c r="AQ5" s="60">
        <v>282532300.47330099</v>
      </c>
      <c r="AR5" s="60">
        <f>AP5/AB5</f>
        <v>12235005.481958751</v>
      </c>
      <c r="AS5" s="47">
        <f>AI5/AF5</f>
        <v>1.2172186304831289</v>
      </c>
    </row>
    <row r="6" spans="1:50" x14ac:dyDescent="0.2">
      <c r="A6">
        <v>3</v>
      </c>
      <c r="B6" s="54" t="s">
        <v>5</v>
      </c>
      <c r="C6" s="48" t="s">
        <v>220</v>
      </c>
      <c r="F6" s="52">
        <v>35.799999999999997</v>
      </c>
      <c r="U6" s="48">
        <v>-1.57</v>
      </c>
      <c r="Y6" s="54" t="s">
        <v>205</v>
      </c>
      <c r="AA6" s="56" t="s">
        <v>263</v>
      </c>
      <c r="AB6">
        <v>48.353278368081497</v>
      </c>
      <c r="AC6" s="54">
        <v>8.6286849986232763</v>
      </c>
      <c r="AD6" s="60">
        <v>3946035413.427578</v>
      </c>
      <c r="AE6" s="60">
        <v>874918179.68012869</v>
      </c>
      <c r="AF6" s="60">
        <f>AD6/AB6</f>
        <v>81608435.800133809</v>
      </c>
      <c r="AG6" s="60">
        <v>4100384354.7405419</v>
      </c>
      <c r="AH6" s="60">
        <v>576905965.40110648</v>
      </c>
      <c r="AI6" s="60">
        <f>AG6/AB6</f>
        <v>84800544.929488137</v>
      </c>
      <c r="AJ6" s="60">
        <v>1253657342.8552783</v>
      </c>
      <c r="AK6" s="60">
        <v>274507513.64630097</v>
      </c>
      <c r="AL6" s="60">
        <f>AJ6/AB6</f>
        <v>25927039.182576511</v>
      </c>
      <c r="AM6" s="60">
        <v>2147181301.5277879</v>
      </c>
      <c r="AN6" s="60">
        <v>423114309.67941707</v>
      </c>
      <c r="AO6" s="60">
        <f>AM6/AB6</f>
        <v>44406116.275771789</v>
      </c>
      <c r="AP6" s="60">
        <v>521483951.86472887</v>
      </c>
      <c r="AQ6" s="60">
        <v>208205838.84969187</v>
      </c>
      <c r="AR6" s="60">
        <f>AP6/AB6</f>
        <v>10784872.700771533</v>
      </c>
      <c r="AS6" s="47">
        <f>AI6/AF6</f>
        <v>1.0391149407295599</v>
      </c>
    </row>
    <row r="7" spans="1:50" x14ac:dyDescent="0.2">
      <c r="A7">
        <v>4</v>
      </c>
      <c r="B7" s="54" t="s">
        <v>6</v>
      </c>
      <c r="C7" s="48" t="s">
        <v>221</v>
      </c>
      <c r="F7" s="52">
        <v>30.5</v>
      </c>
      <c r="U7" s="48">
        <v>-0.7</v>
      </c>
      <c r="Y7" s="54" t="s">
        <v>206</v>
      </c>
      <c r="AA7" s="56" t="s">
        <v>264</v>
      </c>
      <c r="AB7">
        <v>55.273882203724348</v>
      </c>
      <c r="AC7" s="54">
        <v>11.151419742956879</v>
      </c>
      <c r="AD7" s="60">
        <v>4178500092.73877</v>
      </c>
      <c r="AE7" s="60">
        <v>1255524235.8516035</v>
      </c>
      <c r="AF7" s="60">
        <f>AD7/AB7</f>
        <v>75596283.92552501</v>
      </c>
      <c r="AG7" s="60">
        <v>4808246252.9579926</v>
      </c>
      <c r="AH7" s="60">
        <v>814350852.26279032</v>
      </c>
      <c r="AI7" s="60">
        <f>AG7/AB7</f>
        <v>86989479.682938099</v>
      </c>
      <c r="AJ7" s="60">
        <v>1251709107.1726184</v>
      </c>
      <c r="AK7" s="60">
        <v>119777681.78452544</v>
      </c>
      <c r="AL7" s="60">
        <f>AJ7/AB7</f>
        <v>22645579.743415929</v>
      </c>
      <c r="AM7" s="60">
        <v>2770937234.3469419</v>
      </c>
      <c r="AN7" s="60">
        <v>814098788.78556859</v>
      </c>
      <c r="AO7" s="60">
        <f>AM7/AB7</f>
        <v>50131040.626638606</v>
      </c>
      <c r="AP7" s="60">
        <v>586428086.13403547</v>
      </c>
      <c r="AQ7" s="60">
        <v>187912144.09016541</v>
      </c>
      <c r="AR7" s="60">
        <f>AP7/AB7</f>
        <v>10609496.97675699</v>
      </c>
      <c r="AS7" s="47">
        <f>AI7/AF7</f>
        <v>1.1507110557000035</v>
      </c>
    </row>
    <row r="8" spans="1:50" x14ac:dyDescent="0.2">
      <c r="A8">
        <v>5</v>
      </c>
      <c r="B8" s="54" t="s">
        <v>7</v>
      </c>
      <c r="C8" s="48" t="s">
        <v>222</v>
      </c>
      <c r="D8" s="42" t="s">
        <v>148</v>
      </c>
      <c r="E8" s="42" t="s">
        <v>157</v>
      </c>
      <c r="F8" s="52">
        <v>35.799999999999997</v>
      </c>
      <c r="G8">
        <v>-0.26963700000000002</v>
      </c>
      <c r="H8" s="47">
        <v>0.52669999999999995</v>
      </c>
      <c r="I8" s="52">
        <v>0.72758800000000001</v>
      </c>
      <c r="J8" t="s">
        <v>179</v>
      </c>
      <c r="K8" s="52">
        <v>0.53800000000000003</v>
      </c>
      <c r="L8">
        <f>I8*LN($N$1)+G8</f>
        <v>9.9898554720700172</v>
      </c>
      <c r="M8">
        <f>EXP(L8)</f>
        <v>21804.147262224276</v>
      </c>
      <c r="N8">
        <v>15247.5</v>
      </c>
      <c r="O8" s="48">
        <f>(N8-M8)/N8</f>
        <v>-0.43001457696174955</v>
      </c>
      <c r="P8" t="s">
        <v>164</v>
      </c>
      <c r="U8" s="48">
        <v>-1.92</v>
      </c>
      <c r="Y8" s="54" t="s">
        <v>207</v>
      </c>
      <c r="AA8" s="56" t="s">
        <v>265</v>
      </c>
      <c r="AB8">
        <v>28.345620259758906</v>
      </c>
      <c r="AC8" s="54">
        <v>7.8520848958441869</v>
      </c>
      <c r="AD8" s="60">
        <v>3584461877.4798322</v>
      </c>
      <c r="AE8" s="60">
        <v>1118804542.5529025</v>
      </c>
      <c r="AF8" s="60">
        <f>AD8/AB8</f>
        <v>126455580.95507768</v>
      </c>
      <c r="AG8" s="60">
        <v>2856551813.7837672</v>
      </c>
      <c r="AH8" s="60">
        <v>945162823.12658441</v>
      </c>
      <c r="AI8" s="60">
        <f>AG8/AB8</f>
        <v>100775773.73881264</v>
      </c>
      <c r="AJ8" s="60">
        <v>746523835.2898562</v>
      </c>
      <c r="AK8" s="60">
        <v>194795920.47797927</v>
      </c>
      <c r="AL8" s="60">
        <f>AJ8/AB8</f>
        <v>26336479.090904385</v>
      </c>
      <c r="AM8" s="60">
        <v>1655673548.8280096</v>
      </c>
      <c r="AN8" s="60">
        <v>554264713.72922933</v>
      </c>
      <c r="AO8" s="60">
        <f>AM8/AB8</f>
        <v>58410207.067456566</v>
      </c>
      <c r="AP8" s="60">
        <v>315593973.68130189</v>
      </c>
      <c r="AQ8" s="60">
        <v>146129796.67096883</v>
      </c>
      <c r="AR8" s="60">
        <f>AP8/AB8</f>
        <v>11133782.601657776</v>
      </c>
      <c r="AS8" s="47">
        <f>AI8/AF8</f>
        <v>0.79692626436639769</v>
      </c>
    </row>
    <row r="9" spans="1:50" x14ac:dyDescent="0.2">
      <c r="A9">
        <v>6</v>
      </c>
      <c r="B9" s="54" t="s">
        <v>8</v>
      </c>
      <c r="C9" s="48" t="s">
        <v>223</v>
      </c>
      <c r="D9" s="42" t="s">
        <v>153</v>
      </c>
      <c r="E9" s="42" t="s">
        <v>156</v>
      </c>
      <c r="F9" s="52">
        <v>30.3</v>
      </c>
      <c r="G9">
        <v>-13.511288</v>
      </c>
      <c r="H9" t="s">
        <v>177</v>
      </c>
      <c r="I9" s="52">
        <v>1.0969329999999999</v>
      </c>
      <c r="J9" t="s">
        <v>177</v>
      </c>
      <c r="K9" s="52">
        <v>0</v>
      </c>
      <c r="L9">
        <f>I9*LN($N$1)+G9</f>
        <v>1.9562236355206224</v>
      </c>
      <c r="M9">
        <f>EXP(L9)</f>
        <v>7.0725679764371421</v>
      </c>
      <c r="N9">
        <v>6.4790000000000001</v>
      </c>
      <c r="O9" s="48">
        <f>(N9-M9)/N9</f>
        <v>-9.1614134347452067E-2</v>
      </c>
      <c r="P9" t="s">
        <v>165</v>
      </c>
      <c r="Y9" s="59"/>
    </row>
    <row r="10" spans="1:50" x14ac:dyDescent="0.2">
      <c r="A10">
        <v>7</v>
      </c>
      <c r="B10" s="54" t="s">
        <v>9</v>
      </c>
      <c r="C10" s="48" t="s">
        <v>9</v>
      </c>
      <c r="D10" s="42" t="s">
        <v>9</v>
      </c>
      <c r="E10" s="42" t="s">
        <v>155</v>
      </c>
      <c r="F10" s="52">
        <v>25.7</v>
      </c>
      <c r="G10">
        <v>-1.06549</v>
      </c>
      <c r="H10" s="47">
        <v>2.2519999999999998E-2</v>
      </c>
      <c r="I10" s="52">
        <v>0.75900999999999996</v>
      </c>
      <c r="J10" t="s">
        <v>180</v>
      </c>
      <c r="K10" s="52">
        <v>0.89500000000000002</v>
      </c>
      <c r="L10">
        <f>I10*LN($N$1)+G10</f>
        <v>9.6370743375452346</v>
      </c>
      <c r="M10">
        <f>EXP(L10)</f>
        <v>15322.449775767303</v>
      </c>
      <c r="N10" s="46">
        <v>10287</v>
      </c>
      <c r="O10" s="48">
        <f>(N10-M10)/N10</f>
        <v>-0.48949643003473348</v>
      </c>
      <c r="P10" t="s">
        <v>9</v>
      </c>
      <c r="Q10" s="48">
        <v>-0.39800000000000002</v>
      </c>
      <c r="S10" s="48">
        <v>-24.5</v>
      </c>
      <c r="W10" s="48">
        <v>0.44797319829999971</v>
      </c>
    </row>
    <row r="11" spans="1:50" x14ac:dyDescent="0.2">
      <c r="A11">
        <v>8</v>
      </c>
      <c r="B11" s="55" t="s">
        <v>10</v>
      </c>
      <c r="C11" s="50" t="s">
        <v>224</v>
      </c>
    </row>
    <row r="12" spans="1:50" x14ac:dyDescent="0.2">
      <c r="A12">
        <v>9</v>
      </c>
      <c r="B12" s="54" t="s">
        <v>89</v>
      </c>
      <c r="C12" s="48" t="s">
        <v>89</v>
      </c>
      <c r="D12" t="s">
        <v>89</v>
      </c>
      <c r="E12" s="42" t="s">
        <v>155</v>
      </c>
      <c r="F12" s="52">
        <v>36.268968968968977</v>
      </c>
      <c r="G12">
        <v>-1.1361000000000001</v>
      </c>
      <c r="H12">
        <v>0.48380000000000001</v>
      </c>
      <c r="I12" s="52">
        <v>0.77807999999999999</v>
      </c>
      <c r="J12" s="47">
        <v>1.0540000000000001E-5</v>
      </c>
      <c r="K12" s="52">
        <v>0</v>
      </c>
      <c r="L12">
        <f>I12*LN($N$1)+G12</f>
        <v>9.8353644863140097</v>
      </c>
      <c r="M12">
        <f>EXP(L12)</f>
        <v>18682.910094895818</v>
      </c>
      <c r="N12" s="46">
        <v>28689</v>
      </c>
      <c r="O12" s="48">
        <f>(N12-M12)/N12</f>
        <v>0.34877792551515152</v>
      </c>
      <c r="P12" t="s">
        <v>89</v>
      </c>
      <c r="AA12" s="29" t="s">
        <v>280</v>
      </c>
    </row>
    <row r="13" spans="1:50" x14ac:dyDescent="0.2">
      <c r="A13">
        <v>10</v>
      </c>
      <c r="B13" s="54" t="s">
        <v>11</v>
      </c>
      <c r="C13" s="48" t="s">
        <v>11</v>
      </c>
      <c r="F13" s="52">
        <v>32.6</v>
      </c>
      <c r="Q13" s="48">
        <v>-0.69199999999999995</v>
      </c>
      <c r="R13" t="s">
        <v>191</v>
      </c>
      <c r="S13" s="48">
        <v>-7.2</v>
      </c>
      <c r="U13" s="48">
        <v>-0.28000000000000003</v>
      </c>
      <c r="W13" s="48">
        <v>0.49747689999999967</v>
      </c>
      <c r="Y13" s="54" t="s">
        <v>212</v>
      </c>
      <c r="AA13" s="29" t="s">
        <v>282</v>
      </c>
    </row>
    <row r="14" spans="1:50" x14ac:dyDescent="0.2">
      <c r="A14">
        <v>11</v>
      </c>
      <c r="B14" s="54" t="s">
        <v>12</v>
      </c>
      <c r="C14" s="48" t="s">
        <v>12</v>
      </c>
      <c r="F14" s="52">
        <v>40.200000000000003</v>
      </c>
      <c r="Q14" s="48">
        <v>-0.47299999999999998</v>
      </c>
      <c r="R14" t="s">
        <v>12</v>
      </c>
      <c r="S14" s="48">
        <v>-27.8</v>
      </c>
      <c r="W14" s="48">
        <v>0.3425729000000004</v>
      </c>
      <c r="Y14" s="42" t="s">
        <v>12</v>
      </c>
      <c r="AA14" s="29" t="s">
        <v>281</v>
      </c>
    </row>
    <row r="15" spans="1:50" x14ac:dyDescent="0.2">
      <c r="A15">
        <v>12</v>
      </c>
      <c r="B15" s="54" t="s">
        <v>13</v>
      </c>
      <c r="C15" s="48" t="s">
        <v>225</v>
      </c>
      <c r="F15" s="52">
        <v>32.299999999999997</v>
      </c>
      <c r="Q15" s="48">
        <v>-0.65200000000000002</v>
      </c>
      <c r="R15" t="s">
        <v>190</v>
      </c>
      <c r="S15" s="48">
        <v>-30.4</v>
      </c>
      <c r="W15" s="48">
        <v>0.15392329999999976</v>
      </c>
      <c r="Y15" s="42" t="s">
        <v>13</v>
      </c>
      <c r="AA15" s="29" t="s">
        <v>283</v>
      </c>
      <c r="AD15" s="47"/>
      <c r="AF15">
        <v>28734</v>
      </c>
      <c r="AI15">
        <v>58750</v>
      </c>
      <c r="AS15" s="47">
        <f>AI15/AF15</f>
        <v>2.0446161341964224</v>
      </c>
    </row>
    <row r="16" spans="1:50" x14ac:dyDescent="0.2">
      <c r="A16">
        <v>13</v>
      </c>
      <c r="B16" s="54" t="s">
        <v>14</v>
      </c>
      <c r="C16" s="48" t="s">
        <v>14</v>
      </c>
      <c r="D16" s="42" t="s">
        <v>14</v>
      </c>
      <c r="E16" s="42" t="s">
        <v>155</v>
      </c>
      <c r="F16" s="52">
        <v>21.9</v>
      </c>
      <c r="G16">
        <v>-5.6222050000000001</v>
      </c>
      <c r="H16" s="47">
        <v>2.509E-14</v>
      </c>
      <c r="I16" s="52">
        <v>1.0560259999999999</v>
      </c>
      <c r="J16" t="s">
        <v>177</v>
      </c>
      <c r="K16" s="52">
        <v>0.99099999999999999</v>
      </c>
      <c r="L16">
        <f>I16*LN($N$1)+G16</f>
        <v>9.2684897301360252</v>
      </c>
      <c r="M16">
        <f>EXP(L16)</f>
        <v>10598.732846125797</v>
      </c>
      <c r="N16" s="46">
        <v>4711</v>
      </c>
      <c r="O16" s="48">
        <f>(N16-M16)/N16</f>
        <v>-1.2497840896042871</v>
      </c>
      <c r="P16" t="s">
        <v>14</v>
      </c>
      <c r="Q16" s="48">
        <v>-0.22900000000000001</v>
      </c>
      <c r="S16" s="48">
        <v>-27.3</v>
      </c>
      <c r="U16" s="48">
        <v>-0.38</v>
      </c>
      <c r="W16" s="48">
        <v>0.33607679999999984</v>
      </c>
    </row>
    <row r="17" spans="1:47" x14ac:dyDescent="0.2">
      <c r="A17">
        <v>14</v>
      </c>
      <c r="B17" s="54" t="s">
        <v>15</v>
      </c>
      <c r="C17" s="48" t="s">
        <v>226</v>
      </c>
      <c r="D17" s="43"/>
      <c r="E17" s="43"/>
      <c r="F17" s="52">
        <v>36.6</v>
      </c>
    </row>
    <row r="18" spans="1:47" x14ac:dyDescent="0.2">
      <c r="A18">
        <v>15</v>
      </c>
      <c r="B18" s="54" t="s">
        <v>16</v>
      </c>
      <c r="C18" s="48" t="s">
        <v>227</v>
      </c>
      <c r="D18" s="42" t="s">
        <v>47</v>
      </c>
      <c r="E18" s="42" t="s">
        <v>157</v>
      </c>
      <c r="F18" s="52">
        <v>23.1</v>
      </c>
      <c r="G18">
        <v>-3.0510959999999998</v>
      </c>
      <c r="H18" s="41">
        <v>2.8969999999999999E-10</v>
      </c>
      <c r="I18" s="52">
        <v>0.69671499999999997</v>
      </c>
      <c r="J18" t="s">
        <v>177</v>
      </c>
      <c r="K18" s="52">
        <v>0.91900000000000004</v>
      </c>
      <c r="L18">
        <f>I18*LN($N$1)+G18</f>
        <v>6.7730658851304053</v>
      </c>
      <c r="M18">
        <f>EXP(L18)</f>
        <v>873.98733537279497</v>
      </c>
      <c r="N18">
        <v>335</v>
      </c>
      <c r="O18" s="48">
        <f>(N18-M18)/N18</f>
        <v>-1.6089174190232687</v>
      </c>
      <c r="P18" t="s">
        <v>166</v>
      </c>
    </row>
    <row r="19" spans="1:47" x14ac:dyDescent="0.2">
      <c r="A19">
        <v>16</v>
      </c>
      <c r="B19" s="54" t="s">
        <v>17</v>
      </c>
      <c r="C19" s="48" t="s">
        <v>228</v>
      </c>
      <c r="D19" s="43"/>
      <c r="E19" s="43"/>
      <c r="F19" s="52">
        <v>20.2</v>
      </c>
    </row>
    <row r="20" spans="1:47" x14ac:dyDescent="0.2">
      <c r="A20">
        <v>17</v>
      </c>
      <c r="B20" s="54" t="s">
        <v>18</v>
      </c>
      <c r="C20" s="48" t="s">
        <v>167</v>
      </c>
      <c r="D20" s="42" t="s">
        <v>62</v>
      </c>
      <c r="E20" s="42" t="s">
        <v>155</v>
      </c>
      <c r="F20" s="52">
        <v>25.2</v>
      </c>
      <c r="G20">
        <v>-8.3547010000000004</v>
      </c>
      <c r="H20" s="47">
        <v>1.7760000000000001E-15</v>
      </c>
      <c r="I20" s="52">
        <v>1.0650980000000001</v>
      </c>
      <c r="J20" t="s">
        <v>177</v>
      </c>
      <c r="K20" s="52">
        <v>1</v>
      </c>
      <c r="L20">
        <f>I20*LN($N$1)+G20</f>
        <v>6.663915185281823</v>
      </c>
      <c r="M20">
        <f>EXP(L20)</f>
        <v>783.61292888874027</v>
      </c>
      <c r="N20">
        <v>469</v>
      </c>
      <c r="O20" s="48">
        <f>(N20-M20)/N20</f>
        <v>-0.67081647950690892</v>
      </c>
      <c r="P20" t="s">
        <v>167</v>
      </c>
    </row>
    <row r="21" spans="1:47" x14ac:dyDescent="0.2">
      <c r="A21">
        <v>18</v>
      </c>
      <c r="B21" s="54" t="s">
        <v>19</v>
      </c>
      <c r="C21" s="48" t="s">
        <v>229</v>
      </c>
      <c r="D21" s="43"/>
      <c r="E21" s="43"/>
      <c r="F21" s="52">
        <v>21.4</v>
      </c>
      <c r="AA21" s="29" t="s">
        <v>278</v>
      </c>
    </row>
    <row r="22" spans="1:47" ht="14.4" x14ac:dyDescent="0.3">
      <c r="A22">
        <v>19</v>
      </c>
      <c r="B22" s="54" t="s">
        <v>20</v>
      </c>
      <c r="C22" s="48" t="s">
        <v>230</v>
      </c>
      <c r="D22" s="42" t="s">
        <v>48</v>
      </c>
      <c r="E22" s="42" t="s">
        <v>155</v>
      </c>
      <c r="F22" s="52">
        <v>22.2</v>
      </c>
      <c r="G22">
        <v>-1.7159059999999999</v>
      </c>
      <c r="H22" s="47">
        <v>2.9079999999999999E-6</v>
      </c>
      <c r="I22" s="52">
        <v>0.71449399999999996</v>
      </c>
      <c r="J22" s="47">
        <v>9.3260000000000005E-15</v>
      </c>
      <c r="K22" s="52">
        <v>0</v>
      </c>
      <c r="L22">
        <f>I22*LN($N$1)+G22</f>
        <v>8.3589520437544245</v>
      </c>
      <c r="M22">
        <f>EXP(L22)</f>
        <v>4268.2195145732221</v>
      </c>
      <c r="N22" s="46">
        <v>3015</v>
      </c>
      <c r="O22" s="48">
        <f>(N22-M22)/N22</f>
        <v>-0.41566153053838212</v>
      </c>
      <c r="P22" t="s">
        <v>168</v>
      </c>
      <c r="Q22" s="48">
        <v>-0.46899999999999997</v>
      </c>
      <c r="S22" s="48">
        <v>-24.3</v>
      </c>
      <c r="W22" s="48">
        <v>0.17174045490000012</v>
      </c>
      <c r="Y22" s="42" t="s">
        <v>48</v>
      </c>
      <c r="AB22" s="63">
        <v>2.7594463999999999</v>
      </c>
      <c r="AC22" s="62">
        <v>0.114196592</v>
      </c>
      <c r="AD22" s="61">
        <v>24423.783649999998</v>
      </c>
      <c r="AE22">
        <v>1282.1736340124601</v>
      </c>
      <c r="AF22" s="60">
        <f>AD22/AB22</f>
        <v>8850.9723000961349</v>
      </c>
      <c r="AG22" s="61">
        <v>100061.69503837798</v>
      </c>
      <c r="AH22" s="61">
        <v>6582.5177909674585</v>
      </c>
      <c r="AI22" s="60">
        <f>AG22/AB22</f>
        <v>36261.510656042454</v>
      </c>
      <c r="AJ22" s="61">
        <v>18001.118441981576</v>
      </c>
      <c r="AK22" s="61">
        <v>1962.7872843425014</v>
      </c>
      <c r="AL22" s="60">
        <f>AJ22/AB22</f>
        <v>6523.4528353156547</v>
      </c>
      <c r="AM22" s="61">
        <v>57146.917733387272</v>
      </c>
      <c r="AN22" s="61">
        <v>5434.0386496685569</v>
      </c>
      <c r="AO22" s="60">
        <f>AM22/AB22</f>
        <v>20709.558893184978</v>
      </c>
      <c r="AP22" s="61">
        <v>14925.619062678114</v>
      </c>
      <c r="AQ22" s="61">
        <v>1344.4003522304383</v>
      </c>
      <c r="AR22" s="60">
        <f>AP22/AB22</f>
        <v>5408.9179129111235</v>
      </c>
      <c r="AS22" s="47">
        <f>AI22/AF22</f>
        <v>4.0968957337770222</v>
      </c>
      <c r="AU22" s="60"/>
    </row>
    <row r="23" spans="1:47" x14ac:dyDescent="0.2">
      <c r="A23">
        <v>20</v>
      </c>
      <c r="B23" s="55" t="s">
        <v>147</v>
      </c>
      <c r="C23" s="50" t="s">
        <v>231</v>
      </c>
      <c r="D23" s="42" t="s">
        <v>146</v>
      </c>
      <c r="E23" s="42" t="s">
        <v>155</v>
      </c>
      <c r="F23" s="52">
        <v>25.287332612492722</v>
      </c>
      <c r="G23">
        <v>-0.72640300000000002</v>
      </c>
      <c r="H23" s="41">
        <v>3.6410000000000001E-4</v>
      </c>
      <c r="I23" s="52">
        <v>0.70852999999999999</v>
      </c>
      <c r="J23" t="s">
        <v>177</v>
      </c>
      <c r="K23" s="52">
        <v>1</v>
      </c>
      <c r="L23">
        <f>I23*LN($N$1)+G23</f>
        <v>9.2643585315752457</v>
      </c>
      <c r="M23">
        <f>EXP(L23)</f>
        <v>10555.037695063074</v>
      </c>
      <c r="N23" s="46">
        <v>8087</v>
      </c>
      <c r="O23" s="48">
        <f>(N23-M23)/N23</f>
        <v>-0.30518581613244394</v>
      </c>
      <c r="P23" t="s">
        <v>146</v>
      </c>
      <c r="Q23" s="48">
        <v>-0.35299999999999998</v>
      </c>
      <c r="R23" t="s">
        <v>192</v>
      </c>
      <c r="S23" s="48">
        <v>-11</v>
      </c>
      <c r="T23" t="s">
        <v>192</v>
      </c>
      <c r="U23" s="48">
        <v>1.46</v>
      </c>
    </row>
    <row r="24" spans="1:47" x14ac:dyDescent="0.2">
      <c r="A24">
        <v>21</v>
      </c>
      <c r="B24" s="54" t="s">
        <v>22</v>
      </c>
      <c r="C24" s="48" t="s">
        <v>232</v>
      </c>
      <c r="F24" s="52">
        <v>31.4</v>
      </c>
    </row>
    <row r="25" spans="1:47" x14ac:dyDescent="0.2">
      <c r="A25">
        <v>22</v>
      </c>
      <c r="B25" s="54" t="s">
        <v>23</v>
      </c>
      <c r="C25" s="48" t="s">
        <v>233</v>
      </c>
      <c r="F25" s="52">
        <v>24.4</v>
      </c>
    </row>
    <row r="26" spans="1:47" x14ac:dyDescent="0.2">
      <c r="A26">
        <v>23</v>
      </c>
      <c r="B26" s="54" t="s">
        <v>24</v>
      </c>
      <c r="C26" s="48" t="s">
        <v>234</v>
      </c>
      <c r="F26" s="52">
        <v>22.8</v>
      </c>
    </row>
    <row r="27" spans="1:47" x14ac:dyDescent="0.2">
      <c r="A27">
        <v>24</v>
      </c>
      <c r="B27" s="54" t="s">
        <v>25</v>
      </c>
      <c r="C27" s="48" t="s">
        <v>235</v>
      </c>
      <c r="F27" s="52">
        <v>31</v>
      </c>
      <c r="H27" s="41"/>
    </row>
    <row r="28" spans="1:47" x14ac:dyDescent="0.2">
      <c r="A28">
        <v>25</v>
      </c>
      <c r="B28" s="55" t="s">
        <v>26</v>
      </c>
      <c r="C28" s="50" t="s">
        <v>26</v>
      </c>
      <c r="D28" s="42" t="s">
        <v>26</v>
      </c>
      <c r="E28" s="42" t="s">
        <v>155</v>
      </c>
      <c r="F28" s="52">
        <v>29.767111499324457</v>
      </c>
      <c r="G28">
        <v>-2.4230170000000002</v>
      </c>
      <c r="H28" s="47">
        <v>2.4419999999999998E-15</v>
      </c>
      <c r="I28" s="52">
        <v>1.0326439999999999</v>
      </c>
      <c r="J28" t="s">
        <v>177</v>
      </c>
      <c r="K28" s="52">
        <v>0.91600000000000004</v>
      </c>
      <c r="L28">
        <f>I28*LN($N$1)+G28</f>
        <v>12.137975408242397</v>
      </c>
      <c r="M28">
        <f>EXP(L28)</f>
        <v>186833.92660786028</v>
      </c>
      <c r="N28" s="46">
        <v>137421</v>
      </c>
      <c r="O28" s="48">
        <f>(N28-M28)/N28</f>
        <v>-0.35957333018869225</v>
      </c>
      <c r="P28" t="s">
        <v>26</v>
      </c>
      <c r="U28" s="48">
        <v>2.12</v>
      </c>
    </row>
    <row r="29" spans="1:47" x14ac:dyDescent="0.2">
      <c r="A29">
        <v>26</v>
      </c>
      <c r="B29" s="54" t="s">
        <v>27</v>
      </c>
      <c r="C29" s="48" t="s">
        <v>236</v>
      </c>
      <c r="F29" s="52">
        <v>29.8</v>
      </c>
      <c r="Q29" s="48">
        <v>-0.60499999999999998</v>
      </c>
      <c r="S29" s="48">
        <v>-17.600000000000001</v>
      </c>
    </row>
    <row r="30" spans="1:47" x14ac:dyDescent="0.2">
      <c r="A30">
        <v>27</v>
      </c>
      <c r="B30" s="54" t="s">
        <v>28</v>
      </c>
      <c r="C30" s="48" t="s">
        <v>28</v>
      </c>
      <c r="F30" s="52">
        <v>30.1</v>
      </c>
    </row>
    <row r="31" spans="1:47" x14ac:dyDescent="0.2">
      <c r="A31">
        <v>28</v>
      </c>
      <c r="B31" s="54" t="s">
        <v>29</v>
      </c>
      <c r="C31" s="48" t="s">
        <v>237</v>
      </c>
      <c r="F31" s="52">
        <v>24.2</v>
      </c>
    </row>
    <row r="32" spans="1:47" x14ac:dyDescent="0.2">
      <c r="A32">
        <v>29</v>
      </c>
      <c r="B32" s="55" t="s">
        <v>30</v>
      </c>
      <c r="C32" s="50" t="s">
        <v>238</v>
      </c>
    </row>
    <row r="33" spans="1:23" x14ac:dyDescent="0.2">
      <c r="A33">
        <v>30</v>
      </c>
      <c r="B33" s="54" t="s">
        <v>31</v>
      </c>
      <c r="C33" s="48" t="s">
        <v>239</v>
      </c>
      <c r="D33" s="42" t="s">
        <v>154</v>
      </c>
      <c r="E33" s="42" t="s">
        <v>149</v>
      </c>
      <c r="F33" s="52">
        <v>12.3</v>
      </c>
      <c r="G33">
        <v>-5.6362969999999999</v>
      </c>
      <c r="H33" s="47">
        <v>1.6479999999999999E-13</v>
      </c>
      <c r="I33" s="52">
        <v>1.3334550000000001</v>
      </c>
      <c r="J33" t="s">
        <v>177</v>
      </c>
      <c r="K33" s="52">
        <v>1</v>
      </c>
      <c r="L33">
        <f>I33*LN($N$1)+G33</f>
        <v>13.166337917486441</v>
      </c>
      <c r="M33">
        <f>EXP(L33)</f>
        <v>522477.87503108697</v>
      </c>
      <c r="N33">
        <v>421819</v>
      </c>
      <c r="O33" s="48">
        <f>(N33-M33)/N33</f>
        <v>-0.23863049087662472</v>
      </c>
      <c r="P33" t="s">
        <v>169</v>
      </c>
      <c r="Q33" s="48">
        <v>-0.50800000000000001</v>
      </c>
      <c r="R33" t="s">
        <v>187</v>
      </c>
      <c r="S33" s="48">
        <v>-19.7</v>
      </c>
      <c r="T33" t="s">
        <v>187</v>
      </c>
    </row>
    <row r="34" spans="1:23" x14ac:dyDescent="0.2">
      <c r="A34">
        <v>31</v>
      </c>
      <c r="B34" s="54" t="s">
        <v>32</v>
      </c>
      <c r="C34" s="48" t="s">
        <v>170</v>
      </c>
      <c r="D34" s="42" t="s">
        <v>32</v>
      </c>
      <c r="E34" s="42" t="s">
        <v>155</v>
      </c>
      <c r="F34" s="52">
        <v>25.5</v>
      </c>
      <c r="G34">
        <v>-5.7760590000000001</v>
      </c>
      <c r="H34" s="47">
        <v>9.5040000000000004E-14</v>
      </c>
      <c r="I34" s="52">
        <v>1.077337</v>
      </c>
      <c r="J34" t="s">
        <v>177</v>
      </c>
      <c r="K34" s="52">
        <v>0.92</v>
      </c>
      <c r="L34">
        <f>I34*LN($N$1)+G34</f>
        <v>9.4151355240747456</v>
      </c>
      <c r="M34">
        <f>EXP(L34)</f>
        <v>12272.736347830101</v>
      </c>
      <c r="N34" s="46">
        <v>7008</v>
      </c>
      <c r="O34" s="48">
        <f>(N34-M34)/N34</f>
        <v>-0.75124662497575645</v>
      </c>
      <c r="P34" t="s">
        <v>170</v>
      </c>
    </row>
    <row r="35" spans="1:23" x14ac:dyDescent="0.2">
      <c r="B35" s="54" t="s">
        <v>189</v>
      </c>
      <c r="C35" s="48" t="s">
        <v>189</v>
      </c>
      <c r="E35" s="64" t="s">
        <v>291</v>
      </c>
      <c r="F35" s="65">
        <v>36.9</v>
      </c>
      <c r="Q35" s="48">
        <v>-0.78</v>
      </c>
      <c r="R35" t="s">
        <v>189</v>
      </c>
      <c r="S35" s="48">
        <v>-21.9</v>
      </c>
      <c r="U35" s="48">
        <v>1.64</v>
      </c>
      <c r="W35" s="48">
        <v>1.6621107999999989</v>
      </c>
    </row>
    <row r="36" spans="1:23" x14ac:dyDescent="0.2">
      <c r="B36" s="54" t="s">
        <v>193</v>
      </c>
      <c r="C36" s="48" t="s">
        <v>240</v>
      </c>
      <c r="E36" s="64"/>
      <c r="F36" s="65"/>
      <c r="Q36" s="48">
        <v>-0.55700000000000005</v>
      </c>
      <c r="R36" t="s">
        <v>193</v>
      </c>
      <c r="S36" s="48">
        <v>-19.3</v>
      </c>
    </row>
    <row r="37" spans="1:23" x14ac:dyDescent="0.2">
      <c r="B37" s="54" t="s">
        <v>194</v>
      </c>
      <c r="C37" s="48" t="s">
        <v>241</v>
      </c>
      <c r="E37" s="64"/>
      <c r="F37" s="65"/>
      <c r="Q37" s="48">
        <v>0.69499999999999995</v>
      </c>
      <c r="S37" s="48">
        <v>226.5</v>
      </c>
    </row>
    <row r="38" spans="1:23" x14ac:dyDescent="0.2">
      <c r="B38" s="54" t="s">
        <v>195</v>
      </c>
      <c r="C38" s="48" t="s">
        <v>242</v>
      </c>
      <c r="E38" s="64"/>
      <c r="F38" s="65"/>
      <c r="Q38" s="48">
        <v>0.56699999999999995</v>
      </c>
      <c r="S38" s="48">
        <v>283.89999999999998</v>
      </c>
    </row>
    <row r="39" spans="1:23" x14ac:dyDescent="0.2">
      <c r="B39" s="54" t="s">
        <v>196</v>
      </c>
      <c r="C39" s="48" t="s">
        <v>243</v>
      </c>
      <c r="E39" s="64"/>
      <c r="F39" s="65"/>
      <c r="Q39" s="48">
        <v>0.74099999999999999</v>
      </c>
      <c r="S39" s="48">
        <v>86.7</v>
      </c>
    </row>
    <row r="40" spans="1:23" x14ac:dyDescent="0.2">
      <c r="B40" s="54" t="s">
        <v>197</v>
      </c>
      <c r="C40" s="48" t="s">
        <v>244</v>
      </c>
      <c r="E40" s="64"/>
      <c r="F40" s="65"/>
      <c r="Q40" s="48">
        <v>0.21</v>
      </c>
      <c r="S40" s="48">
        <v>5</v>
      </c>
    </row>
    <row r="41" spans="1:23" x14ac:dyDescent="0.2">
      <c r="B41" s="54" t="s">
        <v>200</v>
      </c>
      <c r="C41" s="48" t="s">
        <v>200</v>
      </c>
      <c r="E41" s="64"/>
      <c r="F41" s="65"/>
      <c r="S41" s="48">
        <v>34.4</v>
      </c>
    </row>
    <row r="42" spans="1:23" x14ac:dyDescent="0.2">
      <c r="B42" s="54" t="s">
        <v>201</v>
      </c>
      <c r="C42" s="48" t="s">
        <v>245</v>
      </c>
      <c r="E42" s="64"/>
      <c r="F42" s="65"/>
      <c r="S42" s="48">
        <v>-21.6</v>
      </c>
    </row>
    <row r="43" spans="1:23" x14ac:dyDescent="0.2">
      <c r="B43" s="54" t="s">
        <v>209</v>
      </c>
      <c r="C43" s="48" t="s">
        <v>246</v>
      </c>
      <c r="E43" s="64" t="s">
        <v>291</v>
      </c>
      <c r="F43" s="65">
        <v>18.399999999999999</v>
      </c>
      <c r="U43" s="48">
        <v>1.37</v>
      </c>
    </row>
    <row r="44" spans="1:23" x14ac:dyDescent="0.2">
      <c r="B44" s="54" t="s">
        <v>210</v>
      </c>
      <c r="C44" s="48" t="s">
        <v>247</v>
      </c>
      <c r="E44" s="64"/>
      <c r="F44" s="65"/>
    </row>
    <row r="45" spans="1:23" x14ac:dyDescent="0.2">
      <c r="B45" s="54" t="s">
        <v>211</v>
      </c>
      <c r="C45" s="48" t="s">
        <v>248</v>
      </c>
      <c r="E45" s="64" t="s">
        <v>291</v>
      </c>
      <c r="F45" s="65">
        <v>19.2</v>
      </c>
      <c r="U45" s="48">
        <v>1.64</v>
      </c>
    </row>
    <row r="46" spans="1:23" x14ac:dyDescent="0.2">
      <c r="B46" s="54" t="s">
        <v>208</v>
      </c>
      <c r="C46" s="48" t="s">
        <v>249</v>
      </c>
      <c r="E46" s="64" t="s">
        <v>291</v>
      </c>
      <c r="F46" s="65">
        <v>16.600000000000001</v>
      </c>
      <c r="U46" s="48">
        <v>2.14</v>
      </c>
    </row>
    <row r="47" spans="1:23" x14ac:dyDescent="0.2">
      <c r="B47" s="55" t="s">
        <v>286</v>
      </c>
      <c r="C47" s="51" t="s">
        <v>286</v>
      </c>
      <c r="E47" s="68" t="s">
        <v>290</v>
      </c>
      <c r="F47" s="69">
        <v>36.200000000000003</v>
      </c>
      <c r="W47" s="48">
        <v>114.89641090000009</v>
      </c>
    </row>
    <row r="48" spans="1:23" x14ac:dyDescent="0.2">
      <c r="B48" s="66" t="s">
        <v>292</v>
      </c>
      <c r="C48" s="67" t="s">
        <v>293</v>
      </c>
      <c r="D48" s="66"/>
      <c r="E48" s="68" t="s">
        <v>290</v>
      </c>
      <c r="F48" s="69">
        <v>40.1</v>
      </c>
    </row>
  </sheetData>
  <sortState xmlns:xlrd2="http://schemas.microsoft.com/office/spreadsheetml/2017/richdata2" ref="A4:Y34">
    <sortCondition ref="A4:A34"/>
  </sortState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D37" sqref="D37"/>
    </sheetView>
  </sheetViews>
  <sheetFormatPr defaultColWidth="11" defaultRowHeight="12.6" x14ac:dyDescent="0.2"/>
  <sheetData>
    <row r="1" spans="1:1" s="3" customFormat="1" x14ac:dyDescent="0.2">
      <c r="A1" s="4" t="s">
        <v>53</v>
      </c>
    </row>
    <row r="2" spans="1:1" s="3" customFormat="1" x14ac:dyDescent="0.2">
      <c r="A2" s="1" t="s">
        <v>54</v>
      </c>
    </row>
    <row r="3" spans="1:1" s="3" customFormat="1" ht="13.8" x14ac:dyDescent="0.25">
      <c r="A3" s="14" t="s">
        <v>55</v>
      </c>
    </row>
    <row r="4" spans="1:1" s="3" customFormat="1" x14ac:dyDescent="0.2">
      <c r="A4" s="1" t="s">
        <v>60</v>
      </c>
    </row>
    <row r="5" spans="1:1" s="3" customFormat="1" x14ac:dyDescent="0.2">
      <c r="A5" s="1" t="s">
        <v>59</v>
      </c>
    </row>
    <row r="6" spans="1:1" s="3" customFormat="1" x14ac:dyDescent="0.2">
      <c r="A6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rates incl averaged</vt:lpstr>
      <vt:lpstr>Notes about anatomy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proulx</cp:lastModifiedBy>
  <dcterms:created xsi:type="dcterms:W3CDTF">2010-07-09T06:25:05Z</dcterms:created>
  <dcterms:modified xsi:type="dcterms:W3CDTF">2020-04-17T15:04:14Z</dcterms:modified>
</cp:coreProperties>
</file>