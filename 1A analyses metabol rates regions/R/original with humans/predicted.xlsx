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 expensive brain regions increase less in humans\1A analyses metabol rates regions\R\original with humans\"/>
    </mc:Choice>
  </mc:AlternateContent>
  <xr:revisionPtr revIDLastSave="0" documentId="13_ncr:1_{2CBE776C-F795-4E55-8DF1-099FCBBAF948}" xr6:coauthVersionLast="45" xr6:coauthVersionMax="45" xr10:uidLastSave="{00000000-0000-0000-0000-000000000000}"/>
  <bookViews>
    <workbookView xWindow="-108" yWindow="-108" windowWidth="23256" windowHeight="12720" xr2:uid="{A3BEB0C5-FC3D-4CF5-A2A1-6A9037475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" l="1"/>
  <c r="G9" i="1"/>
  <c r="H9" i="1"/>
  <c r="H14" i="1"/>
  <c r="H13" i="1"/>
  <c r="H10" i="1"/>
  <c r="H12" i="1"/>
  <c r="H11" i="1"/>
  <c r="H16" i="1"/>
  <c r="H15" i="1"/>
  <c r="H4" i="1"/>
  <c r="H2" i="1"/>
  <c r="H7" i="1"/>
  <c r="H3" i="1"/>
  <c r="H5" i="1"/>
  <c r="H8" i="1"/>
  <c r="H6" i="1"/>
  <c r="G14" i="1"/>
  <c r="G13" i="1"/>
  <c r="G10" i="1"/>
  <c r="G12" i="1"/>
  <c r="G11" i="1"/>
  <c r="G16" i="1"/>
  <c r="G15" i="1"/>
  <c r="G4" i="1"/>
  <c r="G2" i="1"/>
  <c r="G7" i="1"/>
  <c r="G3" i="1"/>
  <c r="G5" i="1"/>
  <c r="G8" i="1"/>
  <c r="G6" i="1"/>
  <c r="F14" i="1"/>
  <c r="F13" i="1"/>
  <c r="F10" i="1"/>
  <c r="F12" i="1"/>
  <c r="F11" i="1"/>
  <c r="F16" i="1"/>
  <c r="F15" i="1"/>
  <c r="F4" i="1"/>
  <c r="F2" i="1"/>
  <c r="F7" i="1"/>
  <c r="F3" i="1"/>
  <c r="F5" i="1"/>
  <c r="F8" i="1"/>
  <c r="F6" i="1"/>
</calcChain>
</file>

<file path=xl/sharedStrings.xml><?xml version="1.0" encoding="utf-8"?>
<sst xmlns="http://schemas.openxmlformats.org/spreadsheetml/2006/main" count="24" uniqueCount="24">
  <si>
    <t>min</t>
  </si>
  <si>
    <t>max</t>
  </si>
  <si>
    <t>predicted</t>
  </si>
  <si>
    <t>observed</t>
  </si>
  <si>
    <t>Medulla_oblongata</t>
  </si>
  <si>
    <t>Cerebellum</t>
  </si>
  <si>
    <t>Diencephalon</t>
  </si>
  <si>
    <t>NeoG_Frahm</t>
  </si>
  <si>
    <t>ASG_Sousa</t>
  </si>
  <si>
    <t>Total_insula_volume</t>
  </si>
  <si>
    <t>Hippocampus</t>
  </si>
  <si>
    <t>Striatum</t>
  </si>
  <si>
    <t>Pallidum</t>
  </si>
  <si>
    <t>LGN_Sousa</t>
  </si>
  <si>
    <t>Nucleus_subthalmicus</t>
  </si>
  <si>
    <t>Amygdala</t>
  </si>
  <si>
    <t>NeoW_Frahm</t>
  </si>
  <si>
    <t>Capsula_interna</t>
  </si>
  <si>
    <t>Mesencephalon</t>
  </si>
  <si>
    <t>glucose</t>
  </si>
  <si>
    <t>diff.max</t>
  </si>
  <si>
    <t>diff.min</t>
  </si>
  <si>
    <t>diff.pre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</si>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</sst>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ont="1"/>
    <xf numFmtId="2" fontId="0" fillId="0" borderId="0" xfId="0" applyNumberFormat="1" applyFont="1"/>
    <xf numFmtId="2" fontId="2" fillId="0" borderId="0" xfId="1" applyNumberFormat="1" applyFont="1"/>
    <xf numFmtId="164" fontId="0" fillId="0" borderId="0" xfId="0" applyNumberFormat="1"/>
    <xf numFmtId="1" fontId="0" fillId="0" borderId="0" xfId="0" applyNumberFormat="1" applyFont="1"/>
  </cellXfs>
  <cellStyles count="2">
    <cellStyle name="Normal" xfId="0" builtinId="0"/>
    <cellStyle name="Normal 2 2" xfId="1" xr:uid="{5CD1CB42-F3D8-4BDE-878C-D266D2806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3440-8764-492A-91C1-E706BB7C68E4}">
  <dimension ref="A1:J17"/>
  <sheetViews>
    <sheetView tabSelected="1" workbookViewId="0">
      <selection activeCell="H22" sqref="H22"/>
    </sheetView>
  </sheetViews>
  <sheetFormatPr defaultRowHeight="14.4" x14ac:dyDescent="0.3"/>
  <cols>
    <col min="1" max="1" width="22.44140625" customWidth="1"/>
    <col min="2" max="2" width="18.5546875" customWidth="1"/>
    <col min="3" max="3" width="10.109375" customWidth="1"/>
    <col min="4" max="5" width="9.5546875" bestFit="1" customWidth="1"/>
    <col min="6" max="7" width="9" bestFit="1" customWidth="1"/>
  </cols>
  <sheetData>
    <row r="1" spans="1:10" x14ac:dyDescent="0.3">
      <c r="B1" t="s">
        <v>0</v>
      </c>
      <c r="C1" t="s">
        <v>2</v>
      </c>
      <c r="D1" t="s">
        <v>1</v>
      </c>
      <c r="E1" t="s">
        <v>3</v>
      </c>
      <c r="F1" t="s">
        <v>21</v>
      </c>
      <c r="G1" t="s">
        <v>22</v>
      </c>
      <c r="H1" t="s">
        <v>20</v>
      </c>
      <c r="I1" t="s">
        <v>23</v>
      </c>
      <c r="J1" t="s">
        <v>19</v>
      </c>
    </row>
    <row r="2" spans="1:10" x14ac:dyDescent="0.3">
      <c r="A2" s="1" t="s">
        <v>13</v>
      </c>
      <c r="B2" s="2">
        <v>520.68389999999999</v>
      </c>
      <c r="C2" s="2">
        <v>664.52750000000003</v>
      </c>
      <c r="D2" s="2">
        <v>848.10919999999999</v>
      </c>
      <c r="E2" s="2">
        <v>335</v>
      </c>
      <c r="F2" s="4">
        <f>(B2-E2)/E2</f>
        <v>0.55428029850746263</v>
      </c>
      <c r="G2" s="4">
        <f>(C2-E2)/E2</f>
        <v>0.98366417910447768</v>
      </c>
      <c r="H2" s="2">
        <f>(D2-E2)/E2</f>
        <v>1.5316692537313432</v>
      </c>
      <c r="I2" s="5">
        <v>43</v>
      </c>
      <c r="J2" s="3">
        <v>23.1</v>
      </c>
    </row>
    <row r="3" spans="1:10" x14ac:dyDescent="0.3">
      <c r="A3" s="1" t="s">
        <v>15</v>
      </c>
      <c r="B3" s="2">
        <v>3910.395</v>
      </c>
      <c r="C3" s="2">
        <v>4876.42</v>
      </c>
      <c r="D3" s="2">
        <v>6081.0919999999996</v>
      </c>
      <c r="E3" s="2">
        <v>3015</v>
      </c>
      <c r="F3" s="4">
        <f>(B3-E3)/E3</f>
        <v>0.29698009950248755</v>
      </c>
      <c r="G3" s="4">
        <f>(C3-E3)/E3</f>
        <v>0.61738640132669986</v>
      </c>
      <c r="H3" s="2">
        <f>(D3-E3)/E3</f>
        <v>1.0169459369817577</v>
      </c>
      <c r="I3" s="5">
        <v>17</v>
      </c>
      <c r="J3" s="3">
        <v>22.2</v>
      </c>
    </row>
    <row r="4" spans="1:10" x14ac:dyDescent="0.3">
      <c r="A4" s="1" t="s">
        <v>12</v>
      </c>
      <c r="B4" s="2">
        <v>5803.4539999999997</v>
      </c>
      <c r="C4" s="2">
        <v>7060.2510000000002</v>
      </c>
      <c r="D4" s="2">
        <v>8589.2199999999993</v>
      </c>
      <c r="E4" s="2">
        <v>4711</v>
      </c>
      <c r="F4" s="4">
        <f>(B4-E4)/E4</f>
        <v>0.23189428995966879</v>
      </c>
      <c r="G4" s="4">
        <f>(C4-E4)/E4</f>
        <v>0.49867353003608578</v>
      </c>
      <c r="H4" s="2">
        <f>(D4-E4)/E4</f>
        <v>0.8232264911908298</v>
      </c>
      <c r="I4" s="5">
        <v>26</v>
      </c>
      <c r="J4" s="3">
        <v>21.9</v>
      </c>
    </row>
    <row r="5" spans="1:10" x14ac:dyDescent="0.3">
      <c r="A5" s="1" t="s">
        <v>16</v>
      </c>
      <c r="B5" s="2">
        <v>514796</v>
      </c>
      <c r="C5" s="2">
        <v>626063</v>
      </c>
      <c r="D5" s="2">
        <v>761379</v>
      </c>
      <c r="E5" s="2">
        <v>421819</v>
      </c>
      <c r="F5" s="4">
        <f>(B5-E5)/E5</f>
        <v>0.22041918453175413</v>
      </c>
      <c r="G5" s="4">
        <f>(C5-E5)/E5</f>
        <v>0.48419819875349379</v>
      </c>
      <c r="H5" s="2">
        <f>(D5-E5)/E5</f>
        <v>0.80498981790768076</v>
      </c>
      <c r="I5" s="5">
        <v>23</v>
      </c>
      <c r="J5" s="3">
        <v>19.149999999999999</v>
      </c>
    </row>
    <row r="6" spans="1:10" x14ac:dyDescent="0.3">
      <c r="A6" s="1" t="s">
        <v>4</v>
      </c>
      <c r="B6" s="2">
        <v>10721.09</v>
      </c>
      <c r="C6" s="2">
        <v>12802.42</v>
      </c>
      <c r="D6" s="2">
        <v>15287.79</v>
      </c>
      <c r="E6" s="2">
        <v>9622</v>
      </c>
      <c r="F6" s="4">
        <f>(B6-E6)/E6</f>
        <v>0.11422677198087718</v>
      </c>
      <c r="G6" s="4">
        <f>(C6-E6)/E6</f>
        <v>0.33053627104552069</v>
      </c>
      <c r="H6" s="2">
        <f>(D6-E6)/E6</f>
        <v>0.58883704011640003</v>
      </c>
      <c r="I6" s="5">
        <v>25</v>
      </c>
      <c r="J6" s="2"/>
    </row>
    <row r="7" spans="1:10" x14ac:dyDescent="0.3">
      <c r="A7" s="1" t="s">
        <v>14</v>
      </c>
      <c r="B7" s="2">
        <v>444.04059999999998</v>
      </c>
      <c r="C7" s="2">
        <v>568.96969999999999</v>
      </c>
      <c r="D7" s="2">
        <v>729.04700000000003</v>
      </c>
      <c r="E7" s="2">
        <v>469</v>
      </c>
      <c r="F7" s="4">
        <f>(B7-E7)/E7</f>
        <v>-5.3218336886993636E-2</v>
      </c>
      <c r="G7" s="4">
        <f>(C7-E7)/E7</f>
        <v>0.21315501066098078</v>
      </c>
      <c r="H7" s="2">
        <f>(D7-E7)/E7</f>
        <v>0.55447121535181243</v>
      </c>
      <c r="I7" s="5">
        <v>25</v>
      </c>
      <c r="J7" s="3">
        <v>25.2</v>
      </c>
    </row>
    <row r="8" spans="1:10" x14ac:dyDescent="0.3">
      <c r="A8" s="1" t="s">
        <v>17</v>
      </c>
      <c r="B8" s="2">
        <v>6334.924</v>
      </c>
      <c r="C8" s="2">
        <v>7838.049</v>
      </c>
      <c r="D8" s="2">
        <v>9697.8279999999995</v>
      </c>
      <c r="E8" s="2">
        <v>7008</v>
      </c>
      <c r="F8" s="4">
        <f>(B8-E8)/E8</f>
        <v>-9.6043949771689507E-2</v>
      </c>
      <c r="G8" s="4">
        <f>(C8-E8)/E8</f>
        <v>0.11844306506849314</v>
      </c>
      <c r="H8" s="2">
        <f>(D8-E8)/E8</f>
        <v>0.38382248858447482</v>
      </c>
      <c r="I8" s="5">
        <v>25</v>
      </c>
      <c r="J8" s="3">
        <v>25.5</v>
      </c>
    </row>
    <row r="9" spans="1:10" x14ac:dyDescent="0.3">
      <c r="A9" s="1" t="s">
        <v>11</v>
      </c>
      <c r="B9" s="2">
        <v>26941.18</v>
      </c>
      <c r="C9" s="2">
        <v>31757.71</v>
      </c>
      <c r="D9" s="2">
        <v>37435.33</v>
      </c>
      <c r="E9" s="2">
        <v>28689</v>
      </c>
      <c r="F9" s="4">
        <f>(B9-E9)/E9</f>
        <v>-6.0923001847397948E-2</v>
      </c>
      <c r="G9" s="4">
        <f>(C9-E9)/E9</f>
        <v>0.10696469029941787</v>
      </c>
      <c r="H9" s="2">
        <f>(D9-E9)/E9</f>
        <v>0.3048670222036321</v>
      </c>
      <c r="I9" s="5">
        <v>45</v>
      </c>
      <c r="J9" s="3">
        <v>36.270000000000003</v>
      </c>
    </row>
    <row r="10" spans="1:10" x14ac:dyDescent="0.3">
      <c r="A10" s="1" t="s">
        <v>6</v>
      </c>
      <c r="B10" s="2">
        <v>32167.3</v>
      </c>
      <c r="C10" s="2">
        <v>35940.120000000003</v>
      </c>
      <c r="D10" s="2">
        <v>40155.449999999997</v>
      </c>
      <c r="E10" s="2">
        <v>33319</v>
      </c>
      <c r="F10" s="4">
        <f>(B10-E10)/E10</f>
        <v>-3.456586332122815E-2</v>
      </c>
      <c r="G10" s="4">
        <f>(C10-E10)/E10</f>
        <v>7.8667426993607334E-2</v>
      </c>
      <c r="H10" s="2">
        <f>(D10-E10)/E10</f>
        <v>0.20518172814310146</v>
      </c>
      <c r="I10" s="5">
        <v>46</v>
      </c>
      <c r="J10" s="2"/>
    </row>
    <row r="11" spans="1:10" x14ac:dyDescent="0.3">
      <c r="A11" s="1" t="s">
        <v>8</v>
      </c>
      <c r="B11" s="2">
        <v>9211.2909999999993</v>
      </c>
      <c r="C11" s="2">
        <v>13726.075000000001</v>
      </c>
      <c r="D11" s="2">
        <v>20453.717000000001</v>
      </c>
      <c r="E11" s="2">
        <v>15247.5</v>
      </c>
      <c r="F11" s="4">
        <f>(B11-E11)/E11</f>
        <v>-0.39588188227578297</v>
      </c>
      <c r="G11" s="4">
        <f>(C11-E11)/E11</f>
        <v>-9.9781931464174412E-2</v>
      </c>
      <c r="H11" s="2">
        <f>(D11-E11)/E11</f>
        <v>0.34144725364813905</v>
      </c>
      <c r="I11" s="5">
        <v>44</v>
      </c>
      <c r="J11" s="3">
        <v>35.799999999999997</v>
      </c>
    </row>
    <row r="12" spans="1:10" x14ac:dyDescent="0.3">
      <c r="A12" s="1" t="s">
        <v>7</v>
      </c>
      <c r="B12" s="2">
        <v>483344.9</v>
      </c>
      <c r="C12" s="2">
        <v>522457</v>
      </c>
      <c r="D12" s="2">
        <v>564734.1</v>
      </c>
      <c r="E12" s="2">
        <v>584706</v>
      </c>
      <c r="F12" s="4">
        <f>(B12-E12)/E12</f>
        <v>-0.1733539590837104</v>
      </c>
      <c r="G12" s="4">
        <f>(C12-E12)/E12</f>
        <v>-0.10646205101367183</v>
      </c>
      <c r="H12" s="2">
        <f>(D12-E12)/E12</f>
        <v>-3.4157166165560165E-2</v>
      </c>
      <c r="I12" s="5">
        <v>24</v>
      </c>
      <c r="J12" s="3">
        <v>33.5</v>
      </c>
    </row>
    <row r="13" spans="1:10" x14ac:dyDescent="0.3">
      <c r="A13" s="1" t="s">
        <v>18</v>
      </c>
      <c r="B13" s="2">
        <v>6162.6469999999999</v>
      </c>
      <c r="C13" s="2">
        <v>6911.3109999999997</v>
      </c>
      <c r="D13" s="2">
        <v>7750.9260000000004</v>
      </c>
      <c r="E13" s="2">
        <v>8087</v>
      </c>
      <c r="F13" s="4">
        <f>(B13-E13)/E13</f>
        <v>-0.23795634969704466</v>
      </c>
      <c r="G13" s="4">
        <f>(C13-E13)/E13</f>
        <v>-0.14538011623593425</v>
      </c>
      <c r="H13" s="2">
        <f>(D13-E13)/E13</f>
        <v>-4.1557314207988083E-2</v>
      </c>
      <c r="I13" s="5">
        <v>46</v>
      </c>
      <c r="J13" s="3">
        <v>26.25</v>
      </c>
    </row>
    <row r="14" spans="1:10" x14ac:dyDescent="0.3">
      <c r="A14" s="1" t="s">
        <v>5</v>
      </c>
      <c r="B14" s="2">
        <v>81325.58</v>
      </c>
      <c r="C14" s="2">
        <v>92873.61</v>
      </c>
      <c r="D14" s="2">
        <v>106061.43</v>
      </c>
      <c r="E14" s="2">
        <v>137421</v>
      </c>
      <c r="F14" s="4">
        <f>(B14-E14)/E14</f>
        <v>-0.4082012210651938</v>
      </c>
      <c r="G14" s="4">
        <f>(C14-E14)/E14</f>
        <v>-0.3241672670115921</v>
      </c>
      <c r="H14" s="2">
        <f>(D14-E14)/E14</f>
        <v>-0.22820071168162076</v>
      </c>
      <c r="I14" s="5">
        <v>46</v>
      </c>
      <c r="J14" s="3">
        <v>29.77</v>
      </c>
    </row>
    <row r="15" spans="1:10" x14ac:dyDescent="0.3">
      <c r="A15" s="1" t="s">
        <v>10</v>
      </c>
      <c r="B15" s="2">
        <v>5112.5209999999997</v>
      </c>
      <c r="C15" s="2">
        <v>6881.63</v>
      </c>
      <c r="D15" s="2">
        <v>9262.9120000000003</v>
      </c>
      <c r="E15" s="2">
        <v>10287</v>
      </c>
      <c r="F15" s="4">
        <f>(B15-E15)/E15</f>
        <v>-0.50301147078837372</v>
      </c>
      <c r="G15" s="4">
        <f>(C15-E15)/E15</f>
        <v>-0.3310362593564693</v>
      </c>
      <c r="H15" s="2">
        <f>(D15-E15)/E15</f>
        <v>-9.9551667152717002E-2</v>
      </c>
      <c r="I15" s="5">
        <v>45</v>
      </c>
      <c r="J15" s="3">
        <v>25.7</v>
      </c>
    </row>
    <row r="16" spans="1:10" x14ac:dyDescent="0.3">
      <c r="A16" s="1" t="s">
        <v>9</v>
      </c>
      <c r="B16" s="2">
        <v>1.641823</v>
      </c>
      <c r="C16" s="2">
        <v>3.4824069999999998</v>
      </c>
      <c r="D16" s="2">
        <v>7.3864000000000001</v>
      </c>
      <c r="E16" s="2">
        <v>6.48</v>
      </c>
      <c r="F16" s="4">
        <f>(B16-E16)/E16</f>
        <v>-0.74663225308641967</v>
      </c>
      <c r="G16" s="4">
        <f>(C16-E16)/E16</f>
        <v>-0.46259151234567908</v>
      </c>
      <c r="H16" s="2">
        <f>(D16-E16)/E16</f>
        <v>0.13987654320987647</v>
      </c>
      <c r="I16" s="5">
        <v>29</v>
      </c>
      <c r="J16" s="3">
        <v>30.3</v>
      </c>
    </row>
    <row r="17" spans="1:10" x14ac:dyDescent="0.3">
      <c r="A17" s="1"/>
      <c r="F17" s="4"/>
      <c r="G17" s="4"/>
      <c r="H17" s="4"/>
      <c r="I17" s="2"/>
      <c r="J17" s="2"/>
    </row>
  </sheetData>
  <sortState xmlns:xlrd2="http://schemas.microsoft.com/office/spreadsheetml/2017/richdata2" ref="A2:J22">
    <sortCondition descending="1" ref="G1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Brede</dc:creator>
  <cp:lastModifiedBy>Arend Brede</cp:lastModifiedBy>
  <dcterms:created xsi:type="dcterms:W3CDTF">2020-09-11T01:46:57Z</dcterms:created>
  <dcterms:modified xsi:type="dcterms:W3CDTF">2020-09-11T07:32:28Z</dcterms:modified>
</cp:coreProperties>
</file>