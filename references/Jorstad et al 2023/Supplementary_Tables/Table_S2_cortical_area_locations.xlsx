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eninstitute.sharepoint.com/sites/HumanCross-Areal/Shared Documents/Manuscript/Tables/"/>
    </mc:Choice>
  </mc:AlternateContent>
  <xr:revisionPtr revIDLastSave="225" documentId="8_{377BCB28-90B6-D144-94FB-1A14A5DA1F48}" xr6:coauthVersionLast="47" xr6:coauthVersionMax="47" xr10:uidLastSave="{DA2D3D05-6CFE-4CF2-B852-B2D1FC23282F}"/>
  <bookViews>
    <workbookView xWindow="57480" yWindow="-1800" windowWidth="29040" windowHeight="17640" xr2:uid="{D554ECAC-A810-48CF-A7DE-90938020B13F}"/>
  </bookViews>
  <sheets>
    <sheet name="Donor_Metadata" sheetId="2" r:id="rId1"/>
    <sheet name="Cv3_Sample_Pinning" sheetId="3" r:id="rId2"/>
    <sheet name="Cortical_area_positions" sheetId="1" r:id="rId3"/>
  </sheets>
  <definedNames>
    <definedName name="_xlnm._FilterDatabase" localSheetId="1" hidden="1">Cv3_Sample_Pinning!$A$1:$J$45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F5" i="1"/>
  <c r="F6" i="1"/>
  <c r="F4" i="1"/>
  <c r="F10" i="1"/>
  <c r="F3" i="1"/>
  <c r="F8" i="1"/>
  <c r="F9" i="1"/>
  <c r="H6" i="1"/>
  <c r="H7" i="1"/>
  <c r="H9" i="1"/>
  <c r="H3" i="1"/>
  <c r="H8" i="1"/>
  <c r="H10" i="1"/>
  <c r="H5" i="1"/>
  <c r="H4" i="1"/>
  <c r="G4" i="1"/>
  <c r="G6" i="1"/>
  <c r="G7" i="1"/>
  <c r="G9" i="1"/>
  <c r="G3" i="1"/>
  <c r="G8" i="1"/>
  <c r="G10" i="1"/>
  <c r="G5" i="1"/>
</calcChain>
</file>

<file path=xl/sharedStrings.xml><?xml version="1.0" encoding="utf-8"?>
<sst xmlns="http://schemas.openxmlformats.org/spreadsheetml/2006/main" count="391" uniqueCount="114">
  <si>
    <t>Donor_ID</t>
  </si>
  <si>
    <t>snRNAseq_Structure</t>
  </si>
  <si>
    <t>Block_ID</t>
  </si>
  <si>
    <t>X_coordinate</t>
  </si>
  <si>
    <t>Y_coordinate</t>
  </si>
  <si>
    <t>Z_coordinate</t>
  </si>
  <si>
    <t>Allen_Reference_3D_Structure</t>
  </si>
  <si>
    <t>Allen_Reference_Plate_Brodmann_Structure</t>
  </si>
  <si>
    <t>Julich-Brain_v2.9_Structure_primary</t>
  </si>
  <si>
    <t>Julich-Brain_v2.9_Structure_secondary</t>
  </si>
  <si>
    <t>H18.30.002</t>
  </si>
  <si>
    <t>A1</t>
  </si>
  <si>
    <t>A1C_A</t>
  </si>
  <si>
    <t>TTG</t>
  </si>
  <si>
    <t>A41</t>
  </si>
  <si>
    <t>Area TE 1.0 (HESCHL) right</t>
  </si>
  <si>
    <t>Area TE 2.1 (STG) right</t>
  </si>
  <si>
    <t>A1C_B</t>
  </si>
  <si>
    <t>Area TE 1.1 (HESCHL) right</t>
  </si>
  <si>
    <t>H19.30.001</t>
  </si>
  <si>
    <t>A1C</t>
  </si>
  <si>
    <t>H19.30.002</t>
  </si>
  <si>
    <t>ACC</t>
  </si>
  <si>
    <t>CgGr</t>
  </si>
  <si>
    <t>A24</t>
  </si>
  <si>
    <t>Area p24ab (pACC) right</t>
  </si>
  <si>
    <t>Area p24c (pACC) right</t>
  </si>
  <si>
    <t>Area 33 (ACC) right</t>
  </si>
  <si>
    <t>Frontal-to-Occipital (GapMap) right</t>
  </si>
  <si>
    <t>H19.30.004</t>
  </si>
  <si>
    <t>AnG</t>
  </si>
  <si>
    <t>A39c</t>
  </si>
  <si>
    <t>Area PGp (IPL) right</t>
  </si>
  <si>
    <t>Area hIP6 (IPS) right</t>
  </si>
  <si>
    <t>DFC</t>
  </si>
  <si>
    <t>SFG</t>
  </si>
  <si>
    <t>A9l</t>
  </si>
  <si>
    <t>Frontal-I (GapMap) right</t>
  </si>
  <si>
    <t>Area 8d1 (SFG) right</t>
  </si>
  <si>
    <t>H18.30.001</t>
  </si>
  <si>
    <t>M1</t>
  </si>
  <si>
    <t>M1C</t>
  </si>
  <si>
    <t>PrCG</t>
  </si>
  <si>
    <t>Area 4a (PreCG) right</t>
  </si>
  <si>
    <t>Area 6d1 (PreCG) right</t>
  </si>
  <si>
    <t>Frontal-II (GapMap) right</t>
  </si>
  <si>
    <t>Area 4a (PreCG) right, Area 4p (PreCG) right</t>
  </si>
  <si>
    <t>MTG</t>
  </si>
  <si>
    <t>A21c</t>
  </si>
  <si>
    <t>Temporal-to-Parietal (GapMap) right</t>
  </si>
  <si>
    <t>Area STS2 (STS) right</t>
  </si>
  <si>
    <t>A21i</t>
  </si>
  <si>
    <t>S1</t>
  </si>
  <si>
    <t>S1C_B</t>
  </si>
  <si>
    <t>PoCG</t>
  </si>
  <si>
    <t>S1C</t>
  </si>
  <si>
    <t>Area 1 (PostCG) right</t>
  </si>
  <si>
    <t>S1C_A</t>
  </si>
  <si>
    <t>Area 3a (PostCG) right</t>
  </si>
  <si>
    <t>Area 3b (PostCG) right</t>
  </si>
  <si>
    <t>V1</t>
  </si>
  <si>
    <t>V1C</t>
  </si>
  <si>
    <t>LiG</t>
  </si>
  <si>
    <t>Area hOc1 (V1, 17, CalcS) right</t>
  </si>
  <si>
    <t>V1C_A</t>
  </si>
  <si>
    <t>V1C_B</t>
  </si>
  <si>
    <t>Cun</t>
  </si>
  <si>
    <t>Donor ID</t>
  </si>
  <si>
    <t>Sex</t>
  </si>
  <si>
    <t>Age</t>
  </si>
  <si>
    <t>Presumed Cause of Death</t>
  </si>
  <si>
    <t>Average RIN</t>
  </si>
  <si>
    <t>F</t>
  </si>
  <si>
    <t>right</t>
  </si>
  <si>
    <t>M</t>
  </si>
  <si>
    <t>Likely cardiac</t>
  </si>
  <si>
    <t>Suicide</t>
  </si>
  <si>
    <t xml:space="preserve">Cardiac arrest </t>
  </si>
  <si>
    <t>H200.1023</t>
  </si>
  <si>
    <t>Mitral valve prolapse</t>
  </si>
  <si>
    <t>Approx. CCF coords (Ding et al. 2016)</t>
  </si>
  <si>
    <t>Relative position along major axes</t>
  </si>
  <si>
    <t>Area</t>
  </si>
  <si>
    <t>x</t>
  </si>
  <si>
    <t>y</t>
  </si>
  <si>
    <t>z</t>
  </si>
  <si>
    <t>general location</t>
  </si>
  <si>
    <t>medial_lateral</t>
  </si>
  <si>
    <t>rostral_caudal</t>
  </si>
  <si>
    <t>dorsal_ventral</t>
  </si>
  <si>
    <t>central lateral</t>
  </si>
  <si>
    <t>rostral medial</t>
  </si>
  <si>
    <t xml:space="preserve">caudal lateral </t>
  </si>
  <si>
    <t>rostral middle</t>
  </si>
  <si>
    <t>central medial</t>
  </si>
  <si>
    <t xml:space="preserve">central lateral </t>
  </si>
  <si>
    <t xml:space="preserve">caudal medial </t>
  </si>
  <si>
    <t>Approximate surface distances (in cm) among 8 cortical areas (by Ding SL)</t>
  </si>
  <si>
    <t>MTG_A</t>
  </si>
  <si>
    <t>MTG_B</t>
  </si>
  <si>
    <t>left</t>
  </si>
  <si>
    <t>right, left</t>
  </si>
  <si>
    <t>Area hOc1 (V1, 17, CalcS) left</t>
  </si>
  <si>
    <t>Temporal-to-Parietal (GapMap) left</t>
  </si>
  <si>
    <t>Area STS2 (STS) left</t>
  </si>
  <si>
    <t>Hemisphere Sampled</t>
  </si>
  <si>
    <t>Postmortem Interval (hr)</t>
  </si>
  <si>
    <t>H20.30.002</t>
  </si>
  <si>
    <t>Data Type</t>
  </si>
  <si>
    <t>snRNA-seq, MERFISH</t>
  </si>
  <si>
    <t>MERFISH</t>
  </si>
  <si>
    <t>snRNA-seq</t>
  </si>
  <si>
    <t>Stabbing, lower right chest</t>
  </si>
  <si>
    <t>Motor vehicle accident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</si>
</sst>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D4D4D4"/>
      </left>
      <right style="medium">
        <color rgb="FFD4D4D4"/>
      </right>
      <top style="medium">
        <color rgb="FFD4D4D4"/>
      </top>
      <bottom style="medium">
        <color rgb="FFD4D4D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1" fillId="0" borderId="0" xfId="0" applyFont="1"/>
    <xf numFmtId="0" fontId="3" fillId="0" borderId="0" xfId="0" applyFont="1"/>
    <xf numFmtId="0" fontId="4" fillId="0" borderId="1" xfId="0" applyFont="1" applyBorder="1" applyAlignment="1">
      <alignment wrapText="1"/>
    </xf>
    <xf numFmtId="0" fontId="5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E6DA3-09FD-468B-9EED-7C2E8D3DF93C}">
  <dimension ref="A1:H8"/>
  <sheetViews>
    <sheetView tabSelected="1" workbookViewId="0">
      <selection activeCell="C2" sqref="C2:C7"/>
    </sheetView>
  </sheetViews>
  <sheetFormatPr defaultRowHeight="14.5" x14ac:dyDescent="0.35"/>
  <cols>
    <col min="1" max="1" width="11.1796875" bestFit="1" customWidth="1"/>
    <col min="4" max="4" width="25.453125" bestFit="1" customWidth="1"/>
    <col min="5" max="5" width="23.81640625" bestFit="1" customWidth="1"/>
    <col min="6" max="6" width="19.36328125" bestFit="1" customWidth="1"/>
    <col min="7" max="7" width="13.81640625" customWidth="1"/>
    <col min="8" max="8" width="18.81640625" bestFit="1" customWidth="1"/>
  </cols>
  <sheetData>
    <row r="1" spans="1:8" x14ac:dyDescent="0.35">
      <c r="A1" s="12" t="s">
        <v>67</v>
      </c>
      <c r="B1" s="12" t="s">
        <v>68</v>
      </c>
      <c r="C1" s="12" t="s">
        <v>69</v>
      </c>
      <c r="D1" s="12" t="s">
        <v>106</v>
      </c>
      <c r="E1" s="12" t="s">
        <v>70</v>
      </c>
      <c r="F1" s="12" t="s">
        <v>105</v>
      </c>
      <c r="G1" s="12" t="s">
        <v>71</v>
      </c>
      <c r="H1" s="12" t="s">
        <v>108</v>
      </c>
    </row>
    <row r="2" spans="1:8" x14ac:dyDescent="0.35">
      <c r="A2" t="s">
        <v>39</v>
      </c>
      <c r="B2" t="s">
        <v>72</v>
      </c>
      <c r="C2">
        <v>60</v>
      </c>
      <c r="D2">
        <v>19</v>
      </c>
      <c r="E2" s="11" t="s">
        <v>113</v>
      </c>
      <c r="F2" t="s">
        <v>73</v>
      </c>
      <c r="G2">
        <v>8.8000000000000007</v>
      </c>
      <c r="H2" t="s">
        <v>111</v>
      </c>
    </row>
    <row r="3" spans="1:8" x14ac:dyDescent="0.35">
      <c r="A3" t="s">
        <v>10</v>
      </c>
      <c r="B3" t="s">
        <v>74</v>
      </c>
      <c r="C3">
        <v>50</v>
      </c>
      <c r="D3">
        <v>12</v>
      </c>
      <c r="E3" s="11" t="s">
        <v>75</v>
      </c>
      <c r="F3" t="s">
        <v>73</v>
      </c>
      <c r="G3">
        <v>8.5</v>
      </c>
      <c r="H3" t="s">
        <v>111</v>
      </c>
    </row>
    <row r="4" spans="1:8" x14ac:dyDescent="0.35">
      <c r="A4" t="s">
        <v>19</v>
      </c>
      <c r="B4" t="s">
        <v>74</v>
      </c>
      <c r="C4">
        <v>42</v>
      </c>
      <c r="D4">
        <v>8</v>
      </c>
      <c r="E4" s="11" t="s">
        <v>76</v>
      </c>
      <c r="F4" t="s">
        <v>73</v>
      </c>
      <c r="G4">
        <v>7.9</v>
      </c>
      <c r="H4" t="s">
        <v>109</v>
      </c>
    </row>
    <row r="5" spans="1:8" x14ac:dyDescent="0.35">
      <c r="A5" t="s">
        <v>21</v>
      </c>
      <c r="B5" t="s">
        <v>74</v>
      </c>
      <c r="C5">
        <v>29</v>
      </c>
      <c r="D5">
        <v>7.5</v>
      </c>
      <c r="E5" s="11" t="s">
        <v>77</v>
      </c>
      <c r="F5" t="s">
        <v>73</v>
      </c>
      <c r="G5">
        <v>8.1999999999999993</v>
      </c>
      <c r="H5" t="s">
        <v>109</v>
      </c>
    </row>
    <row r="6" spans="1:8" x14ac:dyDescent="0.35">
      <c r="A6" t="s">
        <v>29</v>
      </c>
      <c r="B6" t="s">
        <v>74</v>
      </c>
      <c r="C6">
        <v>58</v>
      </c>
      <c r="D6">
        <v>12</v>
      </c>
      <c r="E6" s="11" t="s">
        <v>77</v>
      </c>
      <c r="F6" t="s">
        <v>73</v>
      </c>
      <c r="G6">
        <v>8.6</v>
      </c>
      <c r="H6" t="s">
        <v>111</v>
      </c>
    </row>
    <row r="7" spans="1:8" x14ac:dyDescent="0.35">
      <c r="A7" t="s">
        <v>78</v>
      </c>
      <c r="B7" t="s">
        <v>72</v>
      </c>
      <c r="C7">
        <v>43</v>
      </c>
      <c r="D7">
        <v>18.5</v>
      </c>
      <c r="E7" t="s">
        <v>79</v>
      </c>
      <c r="F7" t="s">
        <v>101</v>
      </c>
      <c r="G7">
        <v>7.4</v>
      </c>
      <c r="H7" t="s">
        <v>111</v>
      </c>
    </row>
    <row r="8" spans="1:8" x14ac:dyDescent="0.35">
      <c r="A8" t="s">
        <v>107</v>
      </c>
      <c r="B8" t="s">
        <v>74</v>
      </c>
      <c r="C8">
        <v>38</v>
      </c>
      <c r="D8">
        <v>6.7</v>
      </c>
      <c r="E8" s="11" t="s">
        <v>112</v>
      </c>
      <c r="F8" t="s">
        <v>100</v>
      </c>
      <c r="G8">
        <v>8.5</v>
      </c>
      <c r="H8" t="s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9DBB5-F899-4BEA-A269-581C227EF0BD}">
  <dimension ref="A1:K45"/>
  <sheetViews>
    <sheetView workbookViewId="0">
      <selection activeCell="J1" sqref="J1"/>
    </sheetView>
  </sheetViews>
  <sheetFormatPr defaultRowHeight="14.5" x14ac:dyDescent="0.35"/>
  <cols>
    <col min="1" max="1" width="11.1796875" bestFit="1" customWidth="1"/>
    <col min="2" max="2" width="19.453125" bestFit="1" customWidth="1"/>
    <col min="3" max="3" width="8.7265625" bestFit="1" customWidth="1"/>
    <col min="4" max="4" width="12.81640625" bestFit="1" customWidth="1"/>
    <col min="5" max="6" width="12.7265625" bestFit="1" customWidth="1"/>
    <col min="7" max="7" width="28.7265625" bestFit="1" customWidth="1"/>
    <col min="8" max="8" width="41.453125" bestFit="1" customWidth="1"/>
    <col min="9" max="9" width="34" bestFit="1" customWidth="1"/>
    <col min="10" max="10" width="40.1796875" bestFit="1" customWidth="1"/>
  </cols>
  <sheetData>
    <row r="1" spans="1:11" x14ac:dyDescent="0.3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</row>
    <row r="2" spans="1:11" x14ac:dyDescent="0.35">
      <c r="A2" s="10" t="s">
        <v>10</v>
      </c>
      <c r="B2" s="10" t="s">
        <v>11</v>
      </c>
      <c r="C2" s="10" t="s">
        <v>12</v>
      </c>
      <c r="D2" s="10">
        <v>53.8</v>
      </c>
      <c r="E2" s="10">
        <v>-12</v>
      </c>
      <c r="F2" s="10">
        <v>6</v>
      </c>
      <c r="G2" s="10" t="s">
        <v>13</v>
      </c>
      <c r="H2" s="10" t="s">
        <v>14</v>
      </c>
      <c r="I2" s="10" t="s">
        <v>15</v>
      </c>
      <c r="J2" s="10" t="s">
        <v>16</v>
      </c>
      <c r="K2" s="7"/>
    </row>
    <row r="3" spans="1:11" x14ac:dyDescent="0.35">
      <c r="A3" s="10" t="s">
        <v>10</v>
      </c>
      <c r="B3" s="10" t="s">
        <v>11</v>
      </c>
      <c r="C3" s="10" t="s">
        <v>17</v>
      </c>
      <c r="D3" s="10">
        <v>43</v>
      </c>
      <c r="E3" s="10">
        <v>-22</v>
      </c>
      <c r="F3" s="10">
        <v>9.3000000000000007</v>
      </c>
      <c r="G3" s="10" t="s">
        <v>13</v>
      </c>
      <c r="H3" s="10" t="s">
        <v>14</v>
      </c>
      <c r="I3" s="10" t="s">
        <v>18</v>
      </c>
      <c r="J3" s="10"/>
    </row>
    <row r="4" spans="1:11" x14ac:dyDescent="0.35">
      <c r="A4" s="10" t="s">
        <v>19</v>
      </c>
      <c r="B4" s="10" t="s">
        <v>11</v>
      </c>
      <c r="C4" s="10" t="s">
        <v>20</v>
      </c>
      <c r="D4" s="10">
        <v>53.4</v>
      </c>
      <c r="E4" s="10">
        <v>-11.5</v>
      </c>
      <c r="F4" s="10">
        <v>4.8</v>
      </c>
      <c r="G4" s="10" t="s">
        <v>13</v>
      </c>
      <c r="H4" s="10" t="s">
        <v>14</v>
      </c>
      <c r="I4" s="10" t="s">
        <v>15</v>
      </c>
      <c r="J4" s="10" t="s">
        <v>16</v>
      </c>
    </row>
    <row r="5" spans="1:11" x14ac:dyDescent="0.35">
      <c r="A5" s="10" t="s">
        <v>21</v>
      </c>
      <c r="B5" s="10" t="s">
        <v>11</v>
      </c>
      <c r="C5" s="10" t="s">
        <v>20</v>
      </c>
      <c r="D5" s="10">
        <v>40.1</v>
      </c>
      <c r="E5" s="10">
        <v>-25.5</v>
      </c>
      <c r="F5" s="10">
        <v>12.1</v>
      </c>
      <c r="G5" s="10" t="s">
        <v>13</v>
      </c>
      <c r="H5" s="10" t="s">
        <v>14</v>
      </c>
      <c r="I5" s="10" t="s">
        <v>18</v>
      </c>
      <c r="J5" s="10"/>
    </row>
    <row r="6" spans="1:11" x14ac:dyDescent="0.35">
      <c r="A6" t="s">
        <v>39</v>
      </c>
      <c r="B6" t="s">
        <v>11</v>
      </c>
      <c r="C6" t="s">
        <v>20</v>
      </c>
      <c r="D6">
        <v>42.8</v>
      </c>
      <c r="E6">
        <v>-22</v>
      </c>
      <c r="F6">
        <v>10.199999999999999</v>
      </c>
      <c r="G6" t="s">
        <v>13</v>
      </c>
      <c r="H6" s="10" t="s">
        <v>14</v>
      </c>
      <c r="I6" s="10" t="s">
        <v>18</v>
      </c>
    </row>
    <row r="7" spans="1:11" x14ac:dyDescent="0.35">
      <c r="A7" t="s">
        <v>78</v>
      </c>
      <c r="B7" t="s">
        <v>11</v>
      </c>
      <c r="C7" t="s">
        <v>20</v>
      </c>
      <c r="D7">
        <v>39.1</v>
      </c>
      <c r="E7">
        <v>-26</v>
      </c>
      <c r="F7">
        <v>12.9</v>
      </c>
      <c r="G7" t="s">
        <v>13</v>
      </c>
      <c r="H7" s="10" t="s">
        <v>14</v>
      </c>
      <c r="I7" s="10" t="s">
        <v>18</v>
      </c>
    </row>
    <row r="8" spans="1:11" x14ac:dyDescent="0.35">
      <c r="A8" s="10" t="s">
        <v>10</v>
      </c>
      <c r="B8" s="10" t="s">
        <v>22</v>
      </c>
      <c r="C8" s="10" t="s">
        <v>22</v>
      </c>
      <c r="D8" s="10">
        <v>3.4</v>
      </c>
      <c r="E8" s="10">
        <v>37.5</v>
      </c>
      <c r="F8" s="10">
        <v>15.9</v>
      </c>
      <c r="G8" s="10" t="s">
        <v>23</v>
      </c>
      <c r="H8" s="10" t="s">
        <v>24</v>
      </c>
      <c r="I8" s="10" t="s">
        <v>25</v>
      </c>
      <c r="J8" s="10" t="s">
        <v>26</v>
      </c>
    </row>
    <row r="9" spans="1:11" x14ac:dyDescent="0.35">
      <c r="A9" s="10" t="s">
        <v>19</v>
      </c>
      <c r="B9" s="10" t="s">
        <v>22</v>
      </c>
      <c r="C9" s="10" t="s">
        <v>22</v>
      </c>
      <c r="D9" s="10">
        <v>4.5</v>
      </c>
      <c r="E9" s="10">
        <v>26</v>
      </c>
      <c r="F9" s="10">
        <v>23.2</v>
      </c>
      <c r="G9" s="10" t="s">
        <v>23</v>
      </c>
      <c r="H9" s="10" t="s">
        <v>24</v>
      </c>
      <c r="I9" s="10" t="s">
        <v>27</v>
      </c>
      <c r="J9" s="10" t="s">
        <v>28</v>
      </c>
    </row>
    <row r="10" spans="1:11" x14ac:dyDescent="0.35">
      <c r="A10" s="10" t="s">
        <v>21</v>
      </c>
      <c r="B10" s="10" t="s">
        <v>22</v>
      </c>
      <c r="C10" s="10" t="s">
        <v>22</v>
      </c>
      <c r="D10" s="10">
        <v>3.7</v>
      </c>
      <c r="E10" s="10">
        <v>25</v>
      </c>
      <c r="F10" s="10">
        <v>25.4</v>
      </c>
      <c r="G10" s="10" t="s">
        <v>23</v>
      </c>
      <c r="H10" s="10" t="s">
        <v>24</v>
      </c>
      <c r="I10" s="10" t="s">
        <v>27</v>
      </c>
      <c r="J10" s="10" t="s">
        <v>28</v>
      </c>
    </row>
    <row r="11" spans="1:11" x14ac:dyDescent="0.35">
      <c r="A11" t="s">
        <v>39</v>
      </c>
      <c r="B11" t="s">
        <v>22</v>
      </c>
      <c r="C11" t="s">
        <v>22</v>
      </c>
      <c r="D11">
        <v>3.7</v>
      </c>
      <c r="E11">
        <v>33</v>
      </c>
      <c r="F11">
        <v>16.600000000000001</v>
      </c>
      <c r="G11" t="s">
        <v>23</v>
      </c>
      <c r="H11" t="s">
        <v>24</v>
      </c>
      <c r="I11" s="10" t="s">
        <v>27</v>
      </c>
      <c r="J11" s="10" t="s">
        <v>28</v>
      </c>
    </row>
    <row r="12" spans="1:11" x14ac:dyDescent="0.35">
      <c r="A12" t="s">
        <v>78</v>
      </c>
      <c r="B12" t="s">
        <v>22</v>
      </c>
      <c r="C12" t="s">
        <v>22</v>
      </c>
      <c r="D12">
        <v>3.2</v>
      </c>
      <c r="E12">
        <v>25</v>
      </c>
      <c r="F12">
        <v>25.2</v>
      </c>
      <c r="G12" t="s">
        <v>23</v>
      </c>
      <c r="H12" s="10" t="s">
        <v>24</v>
      </c>
      <c r="I12" s="10" t="s">
        <v>27</v>
      </c>
      <c r="J12" s="10" t="s">
        <v>28</v>
      </c>
    </row>
    <row r="13" spans="1:11" x14ac:dyDescent="0.35">
      <c r="A13" s="10" t="s">
        <v>29</v>
      </c>
      <c r="B13" s="10" t="s">
        <v>30</v>
      </c>
      <c r="C13" s="10" t="s">
        <v>30</v>
      </c>
      <c r="D13" s="10">
        <v>41.4</v>
      </c>
      <c r="E13" s="10">
        <v>-68.5</v>
      </c>
      <c r="F13" s="10">
        <v>42.9</v>
      </c>
      <c r="G13" s="10" t="s">
        <v>30</v>
      </c>
      <c r="H13" s="10" t="s">
        <v>31</v>
      </c>
      <c r="I13" s="10" t="s">
        <v>32</v>
      </c>
      <c r="J13" s="10" t="s">
        <v>33</v>
      </c>
    </row>
    <row r="14" spans="1:11" x14ac:dyDescent="0.35">
      <c r="A14" s="10" t="s">
        <v>19</v>
      </c>
      <c r="B14" s="10" t="s">
        <v>30</v>
      </c>
      <c r="C14" s="10" t="s">
        <v>30</v>
      </c>
      <c r="D14" s="10">
        <v>42</v>
      </c>
      <c r="E14" s="10">
        <v>-70.5</v>
      </c>
      <c r="F14" s="10">
        <v>44.1</v>
      </c>
      <c r="G14" s="10" t="s">
        <v>30</v>
      </c>
      <c r="H14" s="10" t="s">
        <v>31</v>
      </c>
      <c r="I14" s="10" t="s">
        <v>32</v>
      </c>
      <c r="J14" s="10" t="s">
        <v>33</v>
      </c>
    </row>
    <row r="15" spans="1:11" x14ac:dyDescent="0.35">
      <c r="A15" s="10" t="s">
        <v>21</v>
      </c>
      <c r="B15" s="10" t="s">
        <v>30</v>
      </c>
      <c r="C15" s="10" t="s">
        <v>30</v>
      </c>
      <c r="D15" s="10">
        <v>41.6</v>
      </c>
      <c r="E15" s="10">
        <v>72</v>
      </c>
      <c r="F15" s="10">
        <v>44.1</v>
      </c>
      <c r="G15" s="10" t="s">
        <v>30</v>
      </c>
      <c r="H15" s="10" t="s">
        <v>31</v>
      </c>
      <c r="I15" s="10" t="s">
        <v>32</v>
      </c>
      <c r="J15" s="10"/>
    </row>
    <row r="16" spans="1:11" x14ac:dyDescent="0.35">
      <c r="A16" s="10" t="s">
        <v>10</v>
      </c>
      <c r="B16" s="10" t="s">
        <v>34</v>
      </c>
      <c r="C16" s="10" t="s">
        <v>34</v>
      </c>
      <c r="D16" s="10">
        <v>8.1</v>
      </c>
      <c r="E16" s="10">
        <v>37.5</v>
      </c>
      <c r="F16" s="10">
        <v>54.6</v>
      </c>
      <c r="G16" s="10" t="s">
        <v>35</v>
      </c>
      <c r="H16" s="10" t="s">
        <v>36</v>
      </c>
      <c r="I16" s="10" t="s">
        <v>37</v>
      </c>
      <c r="J16" s="10" t="s">
        <v>38</v>
      </c>
    </row>
    <row r="17" spans="1:10" x14ac:dyDescent="0.35">
      <c r="A17" s="10" t="s">
        <v>19</v>
      </c>
      <c r="B17" s="10" t="s">
        <v>34</v>
      </c>
      <c r="C17" s="10" t="s">
        <v>34</v>
      </c>
      <c r="D17" s="10">
        <v>9.6</v>
      </c>
      <c r="E17" s="10">
        <v>38.5</v>
      </c>
      <c r="F17" s="10">
        <v>51.7</v>
      </c>
      <c r="G17" s="10" t="s">
        <v>35</v>
      </c>
      <c r="H17" s="10" t="s">
        <v>36</v>
      </c>
      <c r="I17" s="10" t="s">
        <v>37</v>
      </c>
      <c r="J17" s="10" t="s">
        <v>38</v>
      </c>
    </row>
    <row r="18" spans="1:10" x14ac:dyDescent="0.35">
      <c r="A18" s="10" t="s">
        <v>21</v>
      </c>
      <c r="B18" s="10" t="s">
        <v>34</v>
      </c>
      <c r="C18" s="10" t="s">
        <v>34</v>
      </c>
      <c r="D18" s="10">
        <v>8.5</v>
      </c>
      <c r="E18" s="10">
        <v>40</v>
      </c>
      <c r="F18" s="10">
        <v>50</v>
      </c>
      <c r="G18" s="10" t="s">
        <v>35</v>
      </c>
      <c r="H18" s="10" t="s">
        <v>36</v>
      </c>
      <c r="I18" s="10" t="s">
        <v>37</v>
      </c>
      <c r="J18" s="10" t="s">
        <v>38</v>
      </c>
    </row>
    <row r="19" spans="1:10" x14ac:dyDescent="0.35">
      <c r="A19" t="s">
        <v>39</v>
      </c>
      <c r="B19" t="s">
        <v>34</v>
      </c>
      <c r="C19" t="s">
        <v>34</v>
      </c>
      <c r="D19">
        <v>11.2</v>
      </c>
      <c r="E19">
        <v>41.5</v>
      </c>
      <c r="F19">
        <v>47.7</v>
      </c>
      <c r="G19" t="s">
        <v>35</v>
      </c>
      <c r="H19" t="s">
        <v>36</v>
      </c>
      <c r="I19" s="10" t="s">
        <v>37</v>
      </c>
      <c r="J19" s="10" t="s">
        <v>38</v>
      </c>
    </row>
    <row r="20" spans="1:10" x14ac:dyDescent="0.35">
      <c r="A20" t="s">
        <v>78</v>
      </c>
      <c r="B20" t="s">
        <v>34</v>
      </c>
      <c r="C20" t="s">
        <v>34</v>
      </c>
      <c r="D20">
        <v>10.7</v>
      </c>
      <c r="E20">
        <v>39.5</v>
      </c>
      <c r="F20">
        <v>55.7</v>
      </c>
      <c r="G20" t="s">
        <v>35</v>
      </c>
      <c r="H20" t="s">
        <v>36</v>
      </c>
      <c r="I20" t="s">
        <v>37</v>
      </c>
      <c r="J20" s="10" t="s">
        <v>38</v>
      </c>
    </row>
    <row r="21" spans="1:10" x14ac:dyDescent="0.35">
      <c r="A21" s="10" t="s">
        <v>39</v>
      </c>
      <c r="B21" s="10" t="s">
        <v>40</v>
      </c>
      <c r="C21" s="10" t="s">
        <v>41</v>
      </c>
      <c r="D21" s="10">
        <v>17.2</v>
      </c>
      <c r="E21" s="10">
        <v>-22</v>
      </c>
      <c r="F21" s="10">
        <v>76.5</v>
      </c>
      <c r="G21" s="10" t="s">
        <v>42</v>
      </c>
      <c r="H21" s="10" t="s">
        <v>41</v>
      </c>
      <c r="I21" s="10" t="s">
        <v>43</v>
      </c>
      <c r="J21" s="10" t="s">
        <v>44</v>
      </c>
    </row>
    <row r="22" spans="1:10" x14ac:dyDescent="0.35">
      <c r="A22" s="10" t="s">
        <v>10</v>
      </c>
      <c r="B22" s="10" t="s">
        <v>40</v>
      </c>
      <c r="C22" s="10" t="s">
        <v>41</v>
      </c>
      <c r="D22" s="10">
        <v>16.100000000000001</v>
      </c>
      <c r="E22" s="10">
        <v>-22</v>
      </c>
      <c r="F22" s="10">
        <v>76.2</v>
      </c>
      <c r="G22" s="10" t="s">
        <v>42</v>
      </c>
      <c r="H22" s="10" t="s">
        <v>41</v>
      </c>
      <c r="I22" s="10" t="s">
        <v>43</v>
      </c>
      <c r="J22" s="10" t="s">
        <v>44</v>
      </c>
    </row>
    <row r="23" spans="1:10" x14ac:dyDescent="0.35">
      <c r="A23" s="10" t="s">
        <v>19</v>
      </c>
      <c r="B23" s="10" t="s">
        <v>40</v>
      </c>
      <c r="C23" s="10" t="s">
        <v>41</v>
      </c>
      <c r="D23" s="10">
        <v>27.6</v>
      </c>
      <c r="E23" s="10">
        <v>-21</v>
      </c>
      <c r="F23" s="10">
        <v>71</v>
      </c>
      <c r="G23" s="10" t="s">
        <v>42</v>
      </c>
      <c r="H23" s="10" t="s">
        <v>41</v>
      </c>
      <c r="I23" s="10" t="s">
        <v>43</v>
      </c>
      <c r="J23" s="10" t="s">
        <v>44</v>
      </c>
    </row>
    <row r="24" spans="1:10" x14ac:dyDescent="0.35">
      <c r="A24" s="10" t="s">
        <v>21</v>
      </c>
      <c r="B24" s="10" t="s">
        <v>40</v>
      </c>
      <c r="C24" s="10" t="s">
        <v>41</v>
      </c>
      <c r="D24" s="10">
        <v>40.9</v>
      </c>
      <c r="E24" s="10">
        <v>-17.5</v>
      </c>
      <c r="F24" s="10">
        <v>64</v>
      </c>
      <c r="G24" s="10" t="s">
        <v>42</v>
      </c>
      <c r="H24" s="10" t="s">
        <v>41</v>
      </c>
      <c r="I24" s="10" t="s">
        <v>45</v>
      </c>
      <c r="J24" s="10" t="s">
        <v>46</v>
      </c>
    </row>
    <row r="25" spans="1:10" x14ac:dyDescent="0.35">
      <c r="A25" s="10" t="s">
        <v>10</v>
      </c>
      <c r="B25" s="10" t="s">
        <v>47</v>
      </c>
      <c r="C25" s="10" t="s">
        <v>47</v>
      </c>
      <c r="D25" s="10">
        <v>68</v>
      </c>
      <c r="E25" s="10">
        <v>-22</v>
      </c>
      <c r="F25" s="10">
        <v>15.9</v>
      </c>
      <c r="G25" s="10" t="s">
        <v>47</v>
      </c>
      <c r="H25" s="10" t="s">
        <v>48</v>
      </c>
      <c r="I25" s="10" t="s">
        <v>49</v>
      </c>
      <c r="J25" s="10" t="s">
        <v>50</v>
      </c>
    </row>
    <row r="26" spans="1:10" x14ac:dyDescent="0.35">
      <c r="A26" s="10" t="s">
        <v>19</v>
      </c>
      <c r="B26" s="10" t="s">
        <v>47</v>
      </c>
      <c r="C26" s="10" t="s">
        <v>47</v>
      </c>
      <c r="D26" s="10">
        <v>67.3</v>
      </c>
      <c r="E26" s="10">
        <v>-21</v>
      </c>
      <c r="F26" s="10">
        <v>17.600000000000001</v>
      </c>
      <c r="G26" s="10" t="s">
        <v>47</v>
      </c>
      <c r="H26" s="10" t="s">
        <v>48</v>
      </c>
      <c r="I26" s="10" t="s">
        <v>49</v>
      </c>
      <c r="J26" s="10" t="s">
        <v>50</v>
      </c>
    </row>
    <row r="27" spans="1:10" x14ac:dyDescent="0.35">
      <c r="A27" s="10" t="s">
        <v>21</v>
      </c>
      <c r="B27" s="10" t="s">
        <v>47</v>
      </c>
      <c r="C27" s="10" t="s">
        <v>47</v>
      </c>
      <c r="D27" s="10">
        <v>67.7</v>
      </c>
      <c r="E27" s="10">
        <v>-17.5</v>
      </c>
      <c r="F27" s="10">
        <v>14.3</v>
      </c>
      <c r="G27" s="10" t="s">
        <v>47</v>
      </c>
      <c r="H27" s="10" t="s">
        <v>51</v>
      </c>
      <c r="I27" s="10" t="s">
        <v>49</v>
      </c>
      <c r="J27" s="10" t="s">
        <v>50</v>
      </c>
    </row>
    <row r="28" spans="1:10" x14ac:dyDescent="0.35">
      <c r="A28" t="s">
        <v>39</v>
      </c>
      <c r="B28" t="s">
        <v>47</v>
      </c>
      <c r="C28" t="s">
        <v>98</v>
      </c>
      <c r="D28">
        <v>66.900000000000006</v>
      </c>
      <c r="E28">
        <v>-33.5</v>
      </c>
      <c r="F28">
        <v>6.4</v>
      </c>
      <c r="G28" t="s">
        <v>47</v>
      </c>
      <c r="H28" s="10" t="s">
        <v>48</v>
      </c>
      <c r="I28" s="10" t="s">
        <v>49</v>
      </c>
      <c r="J28" s="10" t="s">
        <v>50</v>
      </c>
    </row>
    <row r="29" spans="1:10" x14ac:dyDescent="0.35">
      <c r="A29" t="s">
        <v>39</v>
      </c>
      <c r="B29" t="s">
        <v>47</v>
      </c>
      <c r="C29" t="s">
        <v>99</v>
      </c>
      <c r="D29">
        <v>68</v>
      </c>
      <c r="E29">
        <v>-22</v>
      </c>
      <c r="F29">
        <v>17.600000000000001</v>
      </c>
      <c r="G29" t="s">
        <v>47</v>
      </c>
      <c r="H29" s="10" t="s">
        <v>48</v>
      </c>
      <c r="I29" s="10" t="s">
        <v>49</v>
      </c>
      <c r="J29" s="10" t="s">
        <v>50</v>
      </c>
    </row>
    <row r="30" spans="1:10" x14ac:dyDescent="0.35">
      <c r="A30" t="s">
        <v>78</v>
      </c>
      <c r="B30" t="s">
        <v>47</v>
      </c>
      <c r="C30" t="s">
        <v>47</v>
      </c>
      <c r="D30">
        <v>68</v>
      </c>
      <c r="E30">
        <v>-33.5</v>
      </c>
      <c r="F30">
        <v>5.9</v>
      </c>
      <c r="G30" t="s">
        <v>47</v>
      </c>
      <c r="H30" s="10" t="s">
        <v>48</v>
      </c>
      <c r="I30" s="10" t="s">
        <v>103</v>
      </c>
      <c r="J30" s="10" t="s">
        <v>104</v>
      </c>
    </row>
    <row r="31" spans="1:10" x14ac:dyDescent="0.35">
      <c r="A31" s="10" t="s">
        <v>10</v>
      </c>
      <c r="B31" s="10" t="s">
        <v>52</v>
      </c>
      <c r="C31" s="10" t="s">
        <v>53</v>
      </c>
      <c r="D31" s="10">
        <v>26.7</v>
      </c>
      <c r="E31" s="10">
        <v>-32</v>
      </c>
      <c r="F31" s="10">
        <v>74</v>
      </c>
      <c r="G31" s="10" t="s">
        <v>54</v>
      </c>
      <c r="H31" s="10" t="s">
        <v>55</v>
      </c>
      <c r="I31" s="10" t="s">
        <v>56</v>
      </c>
      <c r="J31" s="10" t="s">
        <v>45</v>
      </c>
    </row>
    <row r="32" spans="1:10" x14ac:dyDescent="0.35">
      <c r="A32" s="10" t="s">
        <v>10</v>
      </c>
      <c r="B32" s="10" t="s">
        <v>52</v>
      </c>
      <c r="C32" s="10" t="s">
        <v>57</v>
      </c>
      <c r="D32" s="10">
        <v>50.5</v>
      </c>
      <c r="E32" s="10">
        <v>-22</v>
      </c>
      <c r="F32" s="10">
        <v>60.4</v>
      </c>
      <c r="G32" s="10" t="s">
        <v>54</v>
      </c>
      <c r="H32" s="10" t="s">
        <v>55</v>
      </c>
      <c r="I32" s="10" t="s">
        <v>56</v>
      </c>
      <c r="J32" s="10" t="s">
        <v>58</v>
      </c>
    </row>
    <row r="33" spans="1:10" x14ac:dyDescent="0.35">
      <c r="A33" s="10" t="s">
        <v>19</v>
      </c>
      <c r="B33" s="10" t="s">
        <v>52</v>
      </c>
      <c r="C33" s="10" t="s">
        <v>53</v>
      </c>
      <c r="D33" s="10">
        <v>43.8</v>
      </c>
      <c r="E33" s="10">
        <v>-29</v>
      </c>
      <c r="F33" s="10">
        <v>64.7</v>
      </c>
      <c r="G33" s="10" t="s">
        <v>54</v>
      </c>
      <c r="H33" s="10" t="s">
        <v>55</v>
      </c>
      <c r="I33" s="10" t="s">
        <v>56</v>
      </c>
      <c r="J33" s="10" t="s">
        <v>59</v>
      </c>
    </row>
    <row r="34" spans="1:10" x14ac:dyDescent="0.35">
      <c r="A34" s="10" t="s">
        <v>19</v>
      </c>
      <c r="B34" s="10" t="s">
        <v>52</v>
      </c>
      <c r="C34" s="10" t="s">
        <v>57</v>
      </c>
      <c r="D34" s="10">
        <v>50.8</v>
      </c>
      <c r="E34" s="10">
        <v>-21</v>
      </c>
      <c r="F34" s="10">
        <v>51.1</v>
      </c>
      <c r="G34" s="10" t="s">
        <v>54</v>
      </c>
      <c r="H34" s="10" t="s">
        <v>55</v>
      </c>
      <c r="I34" s="10" t="s">
        <v>56</v>
      </c>
      <c r="J34" s="10" t="s">
        <v>58</v>
      </c>
    </row>
    <row r="35" spans="1:10" x14ac:dyDescent="0.35">
      <c r="A35" s="10" t="s">
        <v>21</v>
      </c>
      <c r="B35" s="10" t="s">
        <v>52</v>
      </c>
      <c r="C35" s="10" t="s">
        <v>57</v>
      </c>
      <c r="D35" s="10">
        <v>58.9</v>
      </c>
      <c r="E35" s="10">
        <v>-17.5</v>
      </c>
      <c r="F35" s="10">
        <v>47.1</v>
      </c>
      <c r="G35" s="10" t="s">
        <v>54</v>
      </c>
      <c r="H35" s="10" t="s">
        <v>55</v>
      </c>
      <c r="I35" s="10" t="s">
        <v>56</v>
      </c>
      <c r="J35" s="10" t="s">
        <v>59</v>
      </c>
    </row>
    <row r="36" spans="1:10" x14ac:dyDescent="0.35">
      <c r="A36" s="10" t="s">
        <v>21</v>
      </c>
      <c r="B36" s="10" t="s">
        <v>52</v>
      </c>
      <c r="C36" s="10" t="s">
        <v>53</v>
      </c>
      <c r="D36" s="10">
        <v>49.7</v>
      </c>
      <c r="E36" s="10">
        <v>-25.5</v>
      </c>
      <c r="F36" s="10">
        <v>61.4</v>
      </c>
      <c r="G36" s="10" t="s">
        <v>54</v>
      </c>
      <c r="H36" s="10" t="s">
        <v>55</v>
      </c>
      <c r="I36" s="10" t="s">
        <v>56</v>
      </c>
      <c r="J36" s="10" t="s">
        <v>59</v>
      </c>
    </row>
    <row r="37" spans="1:10" x14ac:dyDescent="0.35">
      <c r="A37" t="s">
        <v>39</v>
      </c>
      <c r="B37" t="s">
        <v>52</v>
      </c>
      <c r="C37" t="s">
        <v>55</v>
      </c>
      <c r="D37">
        <v>29.4</v>
      </c>
      <c r="E37">
        <v>-33.5</v>
      </c>
      <c r="F37">
        <v>73.900000000000006</v>
      </c>
      <c r="G37" t="s">
        <v>54</v>
      </c>
      <c r="H37" t="s">
        <v>55</v>
      </c>
      <c r="I37" s="10" t="s">
        <v>56</v>
      </c>
      <c r="J37" s="10" t="s">
        <v>45</v>
      </c>
    </row>
    <row r="38" spans="1:10" x14ac:dyDescent="0.35">
      <c r="A38" t="s">
        <v>78</v>
      </c>
      <c r="B38" t="s">
        <v>52</v>
      </c>
      <c r="C38" t="s">
        <v>55</v>
      </c>
      <c r="D38">
        <v>49.2</v>
      </c>
      <c r="E38">
        <v>-26</v>
      </c>
      <c r="F38">
        <v>62.1</v>
      </c>
      <c r="G38" t="s">
        <v>54</v>
      </c>
      <c r="H38" s="10" t="s">
        <v>55</v>
      </c>
      <c r="I38" s="10" t="s">
        <v>56</v>
      </c>
      <c r="J38" s="10" t="s">
        <v>59</v>
      </c>
    </row>
    <row r="39" spans="1:10" x14ac:dyDescent="0.35">
      <c r="A39" s="10" t="s">
        <v>10</v>
      </c>
      <c r="B39" s="10" t="s">
        <v>60</v>
      </c>
      <c r="C39" s="10" t="s">
        <v>61</v>
      </c>
      <c r="D39" s="10">
        <v>12.9</v>
      </c>
      <c r="E39" s="10">
        <v>-86</v>
      </c>
      <c r="F39" s="10">
        <v>4.5</v>
      </c>
      <c r="G39" s="10" t="s">
        <v>62</v>
      </c>
      <c r="H39" s="10" t="s">
        <v>61</v>
      </c>
      <c r="I39" s="10" t="s">
        <v>63</v>
      </c>
      <c r="J39" s="10"/>
    </row>
    <row r="40" spans="1:10" x14ac:dyDescent="0.35">
      <c r="A40" s="10" t="s">
        <v>19</v>
      </c>
      <c r="B40" s="10" t="s">
        <v>60</v>
      </c>
      <c r="C40" s="10" t="s">
        <v>64</v>
      </c>
      <c r="D40" s="10">
        <v>14</v>
      </c>
      <c r="E40" s="10">
        <v>-80.5</v>
      </c>
      <c r="F40" s="10">
        <v>6.6</v>
      </c>
      <c r="G40" s="10" t="s">
        <v>62</v>
      </c>
      <c r="H40" s="10" t="s">
        <v>61</v>
      </c>
      <c r="I40" s="10" t="s">
        <v>63</v>
      </c>
      <c r="J40" s="10"/>
    </row>
    <row r="41" spans="1:10" x14ac:dyDescent="0.35">
      <c r="A41" s="10" t="s">
        <v>19</v>
      </c>
      <c r="B41" s="10" t="s">
        <v>60</v>
      </c>
      <c r="C41" s="10" t="s">
        <v>65</v>
      </c>
      <c r="D41" s="10">
        <v>12.6</v>
      </c>
      <c r="E41" s="10">
        <v>-90.5</v>
      </c>
      <c r="F41" s="10">
        <v>0.7</v>
      </c>
      <c r="G41" s="10" t="s">
        <v>62</v>
      </c>
      <c r="H41" s="10" t="s">
        <v>61</v>
      </c>
      <c r="I41" s="10" t="s">
        <v>63</v>
      </c>
      <c r="J41" s="10"/>
    </row>
    <row r="42" spans="1:10" x14ac:dyDescent="0.35">
      <c r="A42" s="10" t="s">
        <v>21</v>
      </c>
      <c r="B42" s="10" t="s">
        <v>60</v>
      </c>
      <c r="C42" s="10" t="s">
        <v>64</v>
      </c>
      <c r="D42" s="10">
        <v>16.2</v>
      </c>
      <c r="E42" s="10">
        <v>-82</v>
      </c>
      <c r="F42" s="10">
        <v>6.3</v>
      </c>
      <c r="G42" s="10" t="s">
        <v>62</v>
      </c>
      <c r="H42" s="10" t="s">
        <v>61</v>
      </c>
      <c r="I42" s="10" t="s">
        <v>63</v>
      </c>
      <c r="J42" s="10"/>
    </row>
    <row r="43" spans="1:10" x14ac:dyDescent="0.35">
      <c r="A43" s="10" t="s">
        <v>21</v>
      </c>
      <c r="B43" s="10" t="s">
        <v>60</v>
      </c>
      <c r="C43" s="10" t="s">
        <v>65</v>
      </c>
      <c r="D43" s="10">
        <v>13.2</v>
      </c>
      <c r="E43" s="10">
        <v>-92</v>
      </c>
      <c r="F43" s="10">
        <v>1.8</v>
      </c>
      <c r="G43" s="10" t="s">
        <v>66</v>
      </c>
      <c r="H43" s="10" t="s">
        <v>61</v>
      </c>
      <c r="I43" s="10" t="s">
        <v>63</v>
      </c>
      <c r="J43" s="10"/>
    </row>
    <row r="44" spans="1:10" x14ac:dyDescent="0.35">
      <c r="A44" t="s">
        <v>39</v>
      </c>
      <c r="B44" t="s">
        <v>60</v>
      </c>
      <c r="C44" t="s">
        <v>61</v>
      </c>
      <c r="D44">
        <v>15.5</v>
      </c>
      <c r="E44">
        <v>-81.5</v>
      </c>
      <c r="F44">
        <v>5.4</v>
      </c>
      <c r="G44" t="s">
        <v>62</v>
      </c>
      <c r="H44" t="s">
        <v>61</v>
      </c>
      <c r="I44" t="s">
        <v>63</v>
      </c>
    </row>
    <row r="45" spans="1:10" x14ac:dyDescent="0.35">
      <c r="A45" t="s">
        <v>78</v>
      </c>
      <c r="B45" t="s">
        <v>60</v>
      </c>
      <c r="C45" t="s">
        <v>61</v>
      </c>
      <c r="D45">
        <v>10.199999999999999</v>
      </c>
      <c r="E45">
        <v>-88.5</v>
      </c>
      <c r="F45">
        <v>5.9</v>
      </c>
      <c r="G45" t="s">
        <v>66</v>
      </c>
      <c r="H45" s="10" t="s">
        <v>61</v>
      </c>
      <c r="I45" s="10" t="s">
        <v>102</v>
      </c>
    </row>
  </sheetData>
  <autoFilter ref="A1:J45" xr:uid="{CF69DBB5-F899-4BEA-A269-581C227EF0BD}">
    <sortState xmlns:xlrd2="http://schemas.microsoft.com/office/spreadsheetml/2017/richdata2" ref="A2:J45">
      <sortCondition ref="B1:B45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4A5E9-B11B-4A78-9012-D0B09F5240BA}">
  <dimension ref="A1:H23"/>
  <sheetViews>
    <sheetView workbookViewId="0">
      <selection activeCell="C38" sqref="C38"/>
    </sheetView>
  </sheetViews>
  <sheetFormatPr defaultColWidth="11.453125" defaultRowHeight="14.5" x14ac:dyDescent="0.35"/>
  <cols>
    <col min="1" max="1" width="5.81640625" customWidth="1"/>
    <col min="2" max="2" width="13.90625" customWidth="1"/>
    <col min="3" max="4" width="10" customWidth="1"/>
    <col min="5" max="5" width="14.7265625" bestFit="1" customWidth="1"/>
    <col min="6" max="6" width="13.36328125" bestFit="1" customWidth="1"/>
    <col min="7" max="7" width="12.90625" bestFit="1" customWidth="1"/>
    <col min="8" max="8" width="13.1796875" bestFit="1" customWidth="1"/>
    <col min="10" max="10" width="14.26953125" bestFit="1" customWidth="1"/>
    <col min="11" max="13" width="12" bestFit="1" customWidth="1"/>
    <col min="16" max="16" width="30.26953125" bestFit="1" customWidth="1"/>
    <col min="17" max="17" width="41.453125" bestFit="1" customWidth="1"/>
    <col min="18" max="18" width="34" bestFit="1" customWidth="1"/>
  </cols>
  <sheetData>
    <row r="1" spans="1:8" x14ac:dyDescent="0.35">
      <c r="B1" s="13" t="s">
        <v>80</v>
      </c>
      <c r="C1" s="13"/>
      <c r="D1" s="13"/>
      <c r="F1" s="13" t="s">
        <v>81</v>
      </c>
      <c r="G1" s="13"/>
      <c r="H1" s="13"/>
    </row>
    <row r="2" spans="1:8" s="7" customFormat="1" x14ac:dyDescent="0.35">
      <c r="A2" s="7" t="s">
        <v>82</v>
      </c>
      <c r="B2" s="7" t="s">
        <v>83</v>
      </c>
      <c r="C2" s="7" t="s">
        <v>84</v>
      </c>
      <c r="D2" s="7" t="s">
        <v>85</v>
      </c>
      <c r="E2" s="7" t="s">
        <v>86</v>
      </c>
      <c r="F2" s="7" t="s">
        <v>87</v>
      </c>
      <c r="G2" s="7" t="s">
        <v>88</v>
      </c>
      <c r="H2" s="7" t="s">
        <v>89</v>
      </c>
    </row>
    <row r="3" spans="1:8" x14ac:dyDescent="0.35">
      <c r="A3" t="s">
        <v>11</v>
      </c>
      <c r="B3">
        <v>101</v>
      </c>
      <c r="C3">
        <v>236</v>
      </c>
      <c r="D3">
        <v>161</v>
      </c>
      <c r="E3" t="s">
        <v>90</v>
      </c>
      <c r="F3">
        <f t="shared" ref="F3:G10" si="0">(MAX(B$3:B$10)-B3)/(MAX(B$3:B$10)-MIN(B$3:B$10))</f>
        <v>0.68181818181818177</v>
      </c>
      <c r="G3">
        <f t="shared" si="0"/>
        <v>0.51301115241635686</v>
      </c>
      <c r="H3">
        <f t="shared" ref="H3:H10" si="1">1-(MAX(D$3:D$10)-D3)/(MAX(D$3:D$10)-MIN(D$3:D$10))</f>
        <v>0.27976190476190477</v>
      </c>
    </row>
    <row r="4" spans="1:8" x14ac:dyDescent="0.35">
      <c r="A4" t="s">
        <v>22</v>
      </c>
      <c r="B4">
        <v>191</v>
      </c>
      <c r="C4">
        <v>336</v>
      </c>
      <c r="D4">
        <v>181</v>
      </c>
      <c r="E4" t="s">
        <v>91</v>
      </c>
      <c r="F4">
        <f t="shared" si="0"/>
        <v>0</v>
      </c>
      <c r="G4">
        <f t="shared" si="0"/>
        <v>0.14126394052044611</v>
      </c>
      <c r="H4">
        <f t="shared" si="1"/>
        <v>0.39880952380952384</v>
      </c>
    </row>
    <row r="5" spans="1:8" x14ac:dyDescent="0.35">
      <c r="A5" t="s">
        <v>30</v>
      </c>
      <c r="B5">
        <v>91</v>
      </c>
      <c r="C5">
        <v>139</v>
      </c>
      <c r="D5">
        <v>225</v>
      </c>
      <c r="E5" t="s">
        <v>92</v>
      </c>
      <c r="F5">
        <f t="shared" si="0"/>
        <v>0.75757575757575757</v>
      </c>
      <c r="G5">
        <f t="shared" si="0"/>
        <v>0.87360594795539037</v>
      </c>
      <c r="H5">
        <f t="shared" si="1"/>
        <v>0.6607142857142857</v>
      </c>
    </row>
    <row r="6" spans="1:8" x14ac:dyDescent="0.35">
      <c r="A6" t="s">
        <v>34</v>
      </c>
      <c r="B6">
        <v>120</v>
      </c>
      <c r="C6">
        <v>374</v>
      </c>
      <c r="D6">
        <v>184</v>
      </c>
      <c r="E6" t="s">
        <v>93</v>
      </c>
      <c r="F6">
        <f t="shared" si="0"/>
        <v>0.53787878787878785</v>
      </c>
      <c r="G6">
        <f t="shared" si="0"/>
        <v>0</v>
      </c>
      <c r="H6">
        <f t="shared" si="1"/>
        <v>0.41666666666666663</v>
      </c>
    </row>
    <row r="7" spans="1:8" x14ac:dyDescent="0.35">
      <c r="A7" t="s">
        <v>40</v>
      </c>
      <c r="B7">
        <v>116</v>
      </c>
      <c r="C7">
        <v>243</v>
      </c>
      <c r="D7">
        <v>277</v>
      </c>
      <c r="E7" t="s">
        <v>94</v>
      </c>
      <c r="F7">
        <f t="shared" si="0"/>
        <v>0.56818181818181823</v>
      </c>
      <c r="G7">
        <f t="shared" si="0"/>
        <v>0.48698884758364314</v>
      </c>
      <c r="H7">
        <f t="shared" si="1"/>
        <v>0.97023809523809523</v>
      </c>
    </row>
    <row r="8" spans="1:8" x14ac:dyDescent="0.35">
      <c r="A8" t="s">
        <v>47</v>
      </c>
      <c r="B8">
        <v>59</v>
      </c>
      <c r="C8">
        <v>223</v>
      </c>
      <c r="D8">
        <v>114</v>
      </c>
      <c r="E8" t="s">
        <v>95</v>
      </c>
      <c r="F8">
        <f t="shared" si="0"/>
        <v>1</v>
      </c>
      <c r="G8">
        <f t="shared" si="0"/>
        <v>0.56133828996282531</v>
      </c>
      <c r="H8">
        <f t="shared" si="1"/>
        <v>0</v>
      </c>
    </row>
    <row r="9" spans="1:8" x14ac:dyDescent="0.35">
      <c r="A9" t="s">
        <v>52</v>
      </c>
      <c r="B9">
        <v>119</v>
      </c>
      <c r="C9">
        <v>207</v>
      </c>
      <c r="D9">
        <v>282</v>
      </c>
      <c r="E9" t="s">
        <v>94</v>
      </c>
      <c r="F9">
        <f t="shared" si="0"/>
        <v>0.54545454545454541</v>
      </c>
      <c r="G9">
        <f t="shared" si="0"/>
        <v>0.620817843866171</v>
      </c>
      <c r="H9">
        <f t="shared" si="1"/>
        <v>1</v>
      </c>
    </row>
    <row r="10" spans="1:8" x14ac:dyDescent="0.35">
      <c r="A10" t="s">
        <v>60</v>
      </c>
      <c r="B10">
        <v>172</v>
      </c>
      <c r="C10">
        <v>105</v>
      </c>
      <c r="D10">
        <v>163</v>
      </c>
      <c r="E10" t="s">
        <v>96</v>
      </c>
      <c r="F10">
        <f t="shared" si="0"/>
        <v>0.14393939393939395</v>
      </c>
      <c r="G10">
        <f t="shared" si="0"/>
        <v>1</v>
      </c>
      <c r="H10">
        <f t="shared" si="1"/>
        <v>0.29166666666666663</v>
      </c>
    </row>
    <row r="14" spans="1:8" x14ac:dyDescent="0.35">
      <c r="A14" s="8" t="s">
        <v>97</v>
      </c>
    </row>
    <row r="15" spans="1:8" x14ac:dyDescent="0.35">
      <c r="A15" s="1"/>
      <c r="B15" s="9" t="s">
        <v>11</v>
      </c>
      <c r="C15" s="9" t="s">
        <v>22</v>
      </c>
      <c r="D15" s="9" t="s">
        <v>30</v>
      </c>
      <c r="E15" s="9" t="s">
        <v>34</v>
      </c>
      <c r="F15" s="9" t="s">
        <v>40</v>
      </c>
      <c r="G15" s="9" t="s">
        <v>47</v>
      </c>
      <c r="H15" s="9" t="s">
        <v>52</v>
      </c>
    </row>
    <row r="16" spans="1:8" x14ac:dyDescent="0.35">
      <c r="A16" s="9" t="s">
        <v>11</v>
      </c>
      <c r="B16" s="1"/>
      <c r="C16" s="1"/>
      <c r="D16" s="1"/>
      <c r="E16" s="1"/>
      <c r="F16" s="1"/>
      <c r="G16" s="1"/>
      <c r="H16" s="1"/>
    </row>
    <row r="17" spans="1:8" x14ac:dyDescent="0.35">
      <c r="A17" s="9" t="s">
        <v>22</v>
      </c>
      <c r="B17" s="2">
        <v>12</v>
      </c>
      <c r="C17" s="1"/>
      <c r="D17" s="1"/>
      <c r="E17" s="1"/>
      <c r="F17" s="1"/>
      <c r="G17" s="1"/>
      <c r="H17" s="1"/>
    </row>
    <row r="18" spans="1:8" x14ac:dyDescent="0.35">
      <c r="A18" s="9" t="s">
        <v>30</v>
      </c>
      <c r="B18" s="3">
        <v>6</v>
      </c>
      <c r="C18" s="4">
        <v>12</v>
      </c>
      <c r="D18" s="1"/>
      <c r="E18" s="1"/>
      <c r="F18" s="1"/>
      <c r="G18" s="1"/>
      <c r="H18" s="1"/>
    </row>
    <row r="19" spans="1:8" x14ac:dyDescent="0.35">
      <c r="A19" s="9" t="s">
        <v>34</v>
      </c>
      <c r="B19" s="3">
        <v>10</v>
      </c>
      <c r="C19" s="5">
        <v>3</v>
      </c>
      <c r="D19" s="2">
        <v>11.5</v>
      </c>
      <c r="E19" s="1"/>
      <c r="F19" s="1"/>
      <c r="G19" s="1"/>
      <c r="H19" s="1"/>
    </row>
    <row r="20" spans="1:8" x14ac:dyDescent="0.35">
      <c r="A20" s="9" t="s">
        <v>40</v>
      </c>
      <c r="B20" s="3">
        <v>5.5</v>
      </c>
      <c r="C20" s="5">
        <v>7</v>
      </c>
      <c r="D20" s="3">
        <v>5</v>
      </c>
      <c r="E20" s="4">
        <v>6.5</v>
      </c>
      <c r="F20" s="1"/>
      <c r="G20" s="1"/>
      <c r="H20" s="1"/>
    </row>
    <row r="21" spans="1:8" x14ac:dyDescent="0.35">
      <c r="A21" s="9" t="s">
        <v>47</v>
      </c>
      <c r="B21" s="3">
        <v>2</v>
      </c>
      <c r="C21" s="5">
        <v>13</v>
      </c>
      <c r="D21" s="3">
        <v>6</v>
      </c>
      <c r="E21" s="6">
        <v>11.5</v>
      </c>
      <c r="F21" s="4">
        <v>7.5</v>
      </c>
      <c r="G21" s="1"/>
      <c r="H21" s="1"/>
    </row>
    <row r="22" spans="1:8" x14ac:dyDescent="0.35">
      <c r="A22" s="9" t="s">
        <v>52</v>
      </c>
      <c r="B22" s="3">
        <v>5</v>
      </c>
      <c r="C22" s="5">
        <v>8</v>
      </c>
      <c r="D22" s="3">
        <v>3.5</v>
      </c>
      <c r="E22" s="6">
        <v>8.5</v>
      </c>
      <c r="F22" s="6">
        <v>2</v>
      </c>
      <c r="G22" s="4">
        <v>7</v>
      </c>
      <c r="H22" s="1"/>
    </row>
    <row r="23" spans="1:8" x14ac:dyDescent="0.35">
      <c r="A23" s="9" t="s">
        <v>60</v>
      </c>
      <c r="B23" s="3">
        <v>8</v>
      </c>
      <c r="C23" s="5">
        <v>16</v>
      </c>
      <c r="D23" s="3">
        <v>4.5</v>
      </c>
      <c r="E23" s="6">
        <v>16</v>
      </c>
      <c r="F23" s="6">
        <v>9.5</v>
      </c>
      <c r="G23" s="6">
        <v>7.5</v>
      </c>
      <c r="H23" s="4">
        <v>7.5</v>
      </c>
    </row>
  </sheetData>
  <sortState xmlns:xlrd2="http://schemas.microsoft.com/office/spreadsheetml/2017/richdata2" ref="A3:H10">
    <sortCondition ref="A3:A10"/>
  </sortState>
  <mergeCells count="2">
    <mergeCell ref="F1:H1"/>
    <mergeCell ref="B1:D1"/>
  </mergeCells>
  <pageMargins left="0.7" right="0.7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3" ma:contentTypeDescription="Create a new document." ma:contentTypeScope="" ma:versionID="8c347d9ff22748542bd40f5ac09e43fb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0611db1c3dbd87e6e7b4d4dfc8a5e38c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7de7e62-c6fb-4f24-87a1-f3667ded5758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952E7A-0E7C-4672-B41F-C4E01DF57B5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83187BA-AE81-472F-9ECA-33312FC994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1efd23-f4ba-42d2-85fd-6a510437bae6"/>
    <ds:schemaRef ds:uri="3bad6c6a-329d-45e9-b8b0-1ebecc8a87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Donor_Metadata</vt:lpstr>
      <vt:lpstr>Cv3_Sample_Pinning</vt:lpstr>
      <vt:lpstr>Cortical_area_positions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Song-Lin Ding</dc:creator>
  <cp:keywords/>
  <dc:description/>
  <cp:lastModifiedBy>Rebecca Hodge</cp:lastModifiedBy>
  <cp:revision/>
  <dcterms:created xsi:type="dcterms:W3CDTF">2022-02-17T02:09:15Z</dcterms:created>
  <dcterms:modified xsi:type="dcterms:W3CDTF">2023-05-04T17:53:46Z</dcterms:modified>
  <cp:category/>
  <cp:contentStatus/>
</cp:coreProperties>
</file>